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per master (US-UK, n=141)" sheetId="1" state="visible" r:id="rId3"/>
    <sheet name="Foreign extension (n=9)" sheetId="2" state="visible" r:id="rId4"/>
    <sheet name="Comparison" sheetId="3" state="visible" r:id="rId5"/>
    <sheet name="Cause of deat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<sst xmlns="http://schemas.openxmlformats.org/spreadsheetml/2006/main" count="366" uniqueCount="272">
  <si>
    <t xml:space="preserve">Movie title</t>
  </si>
  <si>
    <t xml:space="preserve">Year</t>
  </si>
  <si>
    <t xml:space="preserve">Number</t>
  </si>
  <si>
    <t xml:space="preserve">Good</t>
  </si>
  <si>
    <t xml:space="preserve">Evil</t>
  </si>
  <si>
    <t xml:space="preserve">Fake</t>
  </si>
  <si>
    <t xml:space="preserve">Dies</t>
  </si>
  <si>
    <t xml:space="preserve">Female</t>
  </si>
  <si>
    <t xml:space="preserve">Major Character</t>
  </si>
  <si>
    <t xml:space="preserve">Minor character</t>
  </si>
  <si>
    <t xml:space="preserve">Hero(s)</t>
  </si>
  <si>
    <t xml:space="preserve">Cause of death </t>
  </si>
  <si>
    <t xml:space="preserve">Captain Kidd, Jr. </t>
  </si>
  <si>
    <t xml:space="preserve">Aliens</t>
  </si>
  <si>
    <t xml:space="preserve">Al</t>
  </si>
  <si>
    <t xml:space="preserve">Two women </t>
  </si>
  <si>
    <t xml:space="preserve">Geological cause</t>
  </si>
  <si>
    <t xml:space="preserve">G</t>
  </si>
  <si>
    <t xml:space="preserve">Partners of the Sunset </t>
  </si>
  <si>
    <t xml:space="preserve">Murdered</t>
  </si>
  <si>
    <t xml:space="preserve">M</t>
  </si>
  <si>
    <t xml:space="preserve">No More Women </t>
  </si>
  <si>
    <t xml:space="preserve">Acident</t>
  </si>
  <si>
    <t xml:space="preserve">Ac</t>
  </si>
  <si>
    <t xml:space="preserve">The fighting sap </t>
  </si>
  <si>
    <t xml:space="preserve">Health</t>
  </si>
  <si>
    <t xml:space="preserve">H</t>
  </si>
  <si>
    <t xml:space="preserve">Lightning Bill</t>
  </si>
  <si>
    <t xml:space="preserve">Suicide</t>
  </si>
  <si>
    <t xml:space="preserve">S</t>
  </si>
  <si>
    <t xml:space="preserve">Roaring Ranch</t>
  </si>
  <si>
    <t xml:space="preserve">unknown</t>
  </si>
  <si>
    <t xml:space="preserve">U</t>
  </si>
  <si>
    <t xml:space="preserve">With Byrd at the South Pole </t>
  </si>
  <si>
    <t xml:space="preserve">Hot Saturday</t>
  </si>
  <si>
    <t xml:space="preserve">Total</t>
  </si>
  <si>
    <t xml:space="preserve">The Gay Divorcee</t>
  </si>
  <si>
    <t xml:space="preserve">The Law of the 45’s</t>
  </si>
  <si>
    <t xml:space="preserve">Whispering Smith Speaks </t>
  </si>
  <si>
    <t xml:space="preserve">Black Gold </t>
  </si>
  <si>
    <t xml:space="preserve">Valley of Terror</t>
  </si>
  <si>
    <t xml:space="preserve">Danger - Love at Work</t>
  </si>
  <si>
    <t xml:space="preserve">Flying G-Men</t>
  </si>
  <si>
    <t xml:space="preserve">Dies of shot wound.</t>
  </si>
  <si>
    <t xml:space="preserve">Heritage of the Desert </t>
  </si>
  <si>
    <t xml:space="preserve">Quick Millions </t>
  </si>
  <si>
    <t xml:space="preserve">Boom Town</t>
  </si>
  <si>
    <t xml:space="preserve">Dr. Cyclops</t>
  </si>
  <si>
    <t xml:space="preserve">Blazing Six Shooters </t>
  </si>
  <si>
    <t xml:space="preserve">Remedy for Riches </t>
  </si>
  <si>
    <t xml:space="preserve">The Valley of vanishing men </t>
  </si>
  <si>
    <t xml:space="preserve">The Saint Meets the Tiger</t>
  </si>
  <si>
    <t xml:space="preserve">Marked Trails</t>
  </si>
  <si>
    <t xml:space="preserve">The San Antonio Kid</t>
  </si>
  <si>
    <t xml:space="preserve">Dies in a burning pool of oil.</t>
  </si>
  <si>
    <t xml:space="preserve">Tarzan and the Amazons</t>
  </si>
  <si>
    <t xml:space="preserve">Killed by amazons.</t>
  </si>
  <si>
    <t xml:space="preserve">The Monster and the Ape</t>
  </si>
  <si>
    <t xml:space="preserve">Crash into a ravine</t>
  </si>
  <si>
    <t xml:space="preserve">Conquest of Cheyenne</t>
  </si>
  <si>
    <t xml:space="preserve">Falls from an oil rig.</t>
  </si>
  <si>
    <t xml:space="preserve">The Cockeyed Miracle </t>
  </si>
  <si>
    <t xml:space="preserve">Jesse James Rides Again</t>
  </si>
  <si>
    <t xml:space="preserve">My Favorite Brunette </t>
  </si>
  <si>
    <t xml:space="preserve">Durango Kid - Bandits of El Dorado </t>
  </si>
  <si>
    <t xml:space="preserve">Get killed by his own trap.</t>
  </si>
  <si>
    <t xml:space="preserve">Tulsa</t>
  </si>
  <si>
    <t xml:space="preserve">Kim</t>
  </si>
  <si>
    <t xml:space="preserve">2*M</t>
  </si>
  <si>
    <t xml:space="preserve">The White Tower</t>
  </si>
  <si>
    <t xml:space="preserve">Unknown World</t>
  </si>
  <si>
    <t xml:space="preserve">Leadville Gunslinger</t>
  </si>
  <si>
    <t xml:space="preserve">African Treasure</t>
  </si>
  <si>
    <t xml:space="preserve">A Yank in Indo-China </t>
  </si>
  <si>
    <t xml:space="preserve">Red river shore </t>
  </si>
  <si>
    <t xml:space="preserve">Creature from the black lagoon</t>
  </si>
  <si>
    <t xml:space="preserve">Day the World Ended</t>
  </si>
  <si>
    <t xml:space="preserve">Canyon Crossroads </t>
  </si>
  <si>
    <t xml:space="preserve">Swamp Women</t>
  </si>
  <si>
    <t xml:space="preserve">Written on the Wind</t>
  </si>
  <si>
    <t xml:space="preserve">Magnificent Roughnecks </t>
  </si>
  <si>
    <t xml:space="preserve">Attack of the Crab Monsters </t>
  </si>
  <si>
    <t xml:space="preserve">Killed by a gigantic crab.</t>
  </si>
  <si>
    <t xml:space="preserve">Campbell's Kingdom </t>
  </si>
  <si>
    <t xml:space="preserve">The Astounding She-Monster</t>
  </si>
  <si>
    <t xml:space="preserve">The Black Scorpion</t>
  </si>
  <si>
    <t xml:space="preserve">The Monolith Monsters</t>
  </si>
  <si>
    <t xml:space="preserve">Killed by alien monoliths.</t>
  </si>
  <si>
    <t xml:space="preserve">The Night the World Exploded</t>
  </si>
  <si>
    <t xml:space="preserve">The Trollenberg Terror</t>
  </si>
  <si>
    <t xml:space="preserve">Killed by a zombie.</t>
  </si>
  <si>
    <t xml:space="preserve">Giant from the Unknown </t>
  </si>
  <si>
    <t xml:space="preserve">Journey to the Center of the Earth</t>
  </si>
  <si>
    <t xml:space="preserve">Assassinated</t>
  </si>
  <si>
    <t xml:space="preserve">Terror in the Midnight Sun</t>
  </si>
  <si>
    <t xml:space="preserve">Exploring an alien ship and get killed.</t>
  </si>
  <si>
    <t xml:space="preserve">Ten Who Dared </t>
  </si>
  <si>
    <t xml:space="preserve">A Matter of WHO </t>
  </si>
  <si>
    <t xml:space="preserve">Smallpox</t>
  </si>
  <si>
    <t xml:space="preserve">Dr. No</t>
  </si>
  <si>
    <t xml:space="preserve">Shot by James Bond</t>
  </si>
  <si>
    <t xml:space="preserve">Crack in the World</t>
  </si>
  <si>
    <t xml:space="preserve">An explosion in the crust</t>
  </si>
  <si>
    <t xml:space="preserve">The City under the Sea</t>
  </si>
  <si>
    <t xml:space="preserve">Daleks' Invasion Earth 2150 A.D. </t>
  </si>
  <si>
    <t xml:space="preserve">Killed by the evil Daleks.</t>
  </si>
  <si>
    <t xml:space="preserve">Battle Beneath the Earth </t>
  </si>
  <si>
    <t xml:space="preserve">The Money Jungle</t>
  </si>
  <si>
    <t xml:space="preserve">5*M</t>
  </si>
  <si>
    <t xml:space="preserve">All five murdered</t>
  </si>
  <si>
    <t xml:space="preserve">Countdown </t>
  </si>
  <si>
    <t xml:space="preserve">Finian's Rainbow</t>
  </si>
  <si>
    <t xml:space="preserve">The Southern Star</t>
  </si>
  <si>
    <t xml:space="preserve">Joniko and the kush ta ka </t>
  </si>
  <si>
    <t xml:space="preserve">Equinox</t>
  </si>
  <si>
    <t xml:space="preserve">Heart attack</t>
  </si>
  <si>
    <t xml:space="preserve">Walkabout</t>
  </si>
  <si>
    <t xml:space="preserve">Street of a Thousand Pleasures</t>
  </si>
  <si>
    <t xml:space="preserve">Beware! The blob </t>
  </si>
  <si>
    <t xml:space="preserve">Eaten by the “the blob”, an alien.</t>
  </si>
  <si>
    <t xml:space="preserve">Gold</t>
  </si>
  <si>
    <t xml:space="preserve">Killed in a crash.</t>
  </si>
  <si>
    <t xml:space="preserve">Earthquake</t>
  </si>
  <si>
    <t xml:space="preserve">The trench they worked in, collapsed in an earthquake.</t>
  </si>
  <si>
    <t xml:space="preserve">Doc Savage: The Man of Bronze</t>
  </si>
  <si>
    <t xml:space="preserve">Track of the Moon Beast</t>
  </si>
  <si>
    <t xml:space="preserve">Killed by an arrow with a Moon meteorite head.</t>
  </si>
  <si>
    <t xml:space="preserve">King Kong</t>
  </si>
  <si>
    <t xml:space="preserve">The Shadow of Chikara</t>
  </si>
  <si>
    <t xml:space="preserve">Killed by an evil spirit.</t>
  </si>
  <si>
    <t xml:space="preserve">The Last Dinosaur</t>
  </si>
  <si>
    <t xml:space="preserve">Comes a Horseman</t>
  </si>
  <si>
    <t xml:space="preserve">Summer camp </t>
  </si>
  <si>
    <t xml:space="preserve">When Time Ran Out …</t>
  </si>
  <si>
    <t xml:space="preserve">Plunging into the crater</t>
  </si>
  <si>
    <t xml:space="preserve">St. Helens</t>
  </si>
  <si>
    <t xml:space="preserve">Mother Lode </t>
  </si>
  <si>
    <t xml:space="preserve">Waltz across Texas </t>
  </si>
  <si>
    <t xml:space="preserve">Sheena</t>
  </si>
  <si>
    <t xml:space="preserve">A cave collapse</t>
  </si>
  <si>
    <t xml:space="preserve">A View to Kill</t>
  </si>
  <si>
    <t xml:space="preserve">Sherman’s March</t>
  </si>
  <si>
    <t xml:space="preserve">Creature</t>
  </si>
  <si>
    <t xml:space="preserve">2*Al</t>
  </si>
  <si>
    <t xml:space="preserve">Both are killed by an alien.</t>
  </si>
  <si>
    <t xml:space="preserve">Leviathan</t>
  </si>
  <si>
    <t xml:space="preserve">DeepStar Six</t>
  </si>
  <si>
    <t xml:space="preserve">Crushed by a large crate.</t>
  </si>
  <si>
    <t xml:space="preserve">Gas, Food, Lodging</t>
  </si>
  <si>
    <t xml:space="preserve">Found dead in a cave.</t>
  </si>
  <si>
    <t xml:space="preserve">Landslide</t>
  </si>
  <si>
    <t xml:space="preserve">Seedpeople</t>
  </si>
  <si>
    <t xml:space="preserve">Merlin</t>
  </si>
  <si>
    <t xml:space="preserve">How to Make an American Quilt</t>
  </si>
  <si>
    <t xml:space="preserve">Twelve Monkeys</t>
  </si>
  <si>
    <t xml:space="preserve">Bio-Dome</t>
  </si>
  <si>
    <t xml:space="preserve">Dante's Peak</t>
  </si>
  <si>
    <t xml:space="preserve">2*G</t>
  </si>
  <si>
    <t xml:space="preserve">A volcanic bomb and in the second case a lahar</t>
  </si>
  <si>
    <t xml:space="preserve">RocketMan</t>
  </si>
  <si>
    <t xml:space="preserve">Volcano</t>
  </si>
  <si>
    <t xml:space="preserve">Fall into a fissure opens in connection with an earthquake.</t>
  </si>
  <si>
    <t xml:space="preserve">A Civil Action</t>
  </si>
  <si>
    <t xml:space="preserve">Armageddon</t>
  </si>
  <si>
    <t xml:space="preserve">The space craft crash</t>
  </si>
  <si>
    <t xml:space="preserve">The Insider</t>
  </si>
  <si>
    <t xml:space="preserve">South Park: Bigger, Longer &amp; Uncut</t>
  </si>
  <si>
    <t xml:space="preserve">Pitch Black</t>
  </si>
  <si>
    <t xml:space="preserve">Killed by alien flying lizards.</t>
  </si>
  <si>
    <t xml:space="preserve">Kin</t>
  </si>
  <si>
    <t xml:space="preserve">The Last Patrol</t>
  </si>
  <si>
    <t xml:space="preserve">Killed by the hero.</t>
  </si>
  <si>
    <t xml:space="preserve">Deep Core</t>
  </si>
  <si>
    <t xml:space="preserve">Atlantis: The Lost Empire</t>
  </si>
  <si>
    <t xml:space="preserve">Evolution</t>
  </si>
  <si>
    <t xml:space="preserve">Power Play</t>
  </si>
  <si>
    <t xml:space="preserve">The bar exploded.</t>
  </si>
  <si>
    <t xml:space="preserve">Flight of the Phoenix</t>
  </si>
  <si>
    <t xml:space="preserve">Blueberry (Renegade)</t>
  </si>
  <si>
    <t xml:space="preserve">O</t>
  </si>
  <si>
    <t xml:space="preserve">Falls into a big hole.</t>
  </si>
  <si>
    <t xml:space="preserve">The Dukes of Hazzard</t>
  </si>
  <si>
    <t xml:space="preserve">Eight Below</t>
  </si>
  <si>
    <t xml:space="preserve">The Last Winter</t>
  </si>
  <si>
    <t xml:space="preserve">Killed by ghosts.</t>
  </si>
  <si>
    <t xml:space="preserve">Ocean's Thirteen</t>
  </si>
  <si>
    <t xml:space="preserve">There Will Be Blood</t>
  </si>
  <si>
    <t xml:space="preserve">Dies of age</t>
  </si>
  <si>
    <t xml:space="preserve">Quantum of Solace</t>
  </si>
  <si>
    <t xml:space="preserve">Two geologists murdered, the false Mr Slate are killed by Bond</t>
  </si>
  <si>
    <t xml:space="preserve">The Day the Earth Stood Still</t>
  </si>
  <si>
    <t xml:space="preserve">Creation</t>
  </si>
  <si>
    <t xml:space="preserve">Nine Miles Down</t>
  </si>
  <si>
    <t xml:space="preserve">The Age of Stupid</t>
  </si>
  <si>
    <t xml:space="preserve">Whiteout</t>
  </si>
  <si>
    <t xml:space="preserve">3*M</t>
  </si>
  <si>
    <t xml:space="preserve">Another Year</t>
  </si>
  <si>
    <t xml:space="preserve">The Thing</t>
  </si>
  <si>
    <t xml:space="preserve">3*Al</t>
  </si>
  <si>
    <t xml:space="preserve">Assimilation by aliens.</t>
  </si>
  <si>
    <t xml:space="preserve">Prometheus</t>
  </si>
  <si>
    <t xml:space="preserve">Transformers 4: Age of Extinction</t>
  </si>
  <si>
    <t xml:space="preserve">GOLD</t>
  </si>
  <si>
    <t xml:space="preserve">faked suicide? unknown</t>
  </si>
  <si>
    <t xml:space="preserve">Monster Trucks</t>
  </si>
  <si>
    <t xml:space="preserve">Kong: Skull Island</t>
  </si>
  <si>
    <t xml:space="preserve">Living Proof </t>
  </si>
  <si>
    <t xml:space="preserve">Djungel</t>
  </si>
  <si>
    <t xml:space="preserve">Lost in the jungle. </t>
  </si>
  <si>
    <t xml:space="preserve">Wonder Woman 1984</t>
  </si>
  <si>
    <t xml:space="preserve">Godzilla vs. Kong </t>
  </si>
  <si>
    <t xml:space="preserve">Fire and Love</t>
  </si>
  <si>
    <t xml:space="preserve">3*G</t>
  </si>
  <si>
    <t xml:space="preserve">Killed by a pyroclastic flow.</t>
  </si>
  <si>
    <t xml:space="preserve">Good Night Oppy</t>
  </si>
  <si>
    <t xml:space="preserve">Sum</t>
  </si>
  <si>
    <t xml:space="preserve">[%]</t>
  </si>
  <si>
    <t xml:space="preserve">FOREIGN-LANGUAGE GEOLOGIST FILMS — extension to Sturkell et al. (2026), same coding scheme</t>
  </si>
  <si>
    <t xml:space="preserve">Eligible films only. Codes: M murder, G geological, Al alien, Ac accident, H health, S suicide, U unknown. "?" fates excluded from counts until verified on viewing.</t>
  </si>
  <si>
    <t xml:space="preserve">Notes / flags</t>
  </si>
  <si>
    <t xml:space="preserve">The Skin of the South</t>
  </si>
  <si>
    <t xml:space="preserve">Ohno+Takayama survival unverified (?) — fates not yet counted in Dies. Confirm on viewing.</t>
  </si>
  <si>
    <t xml:space="preserve">Letter Never Sent</t>
  </si>
  <si>
    <t xml:space="preserve">Tragic Soviet survival epic; &gt;=3 of 4 die (G). Andrei fate (?) may raise Dies to 4. Tanya = early non-Anglo female geologist (1960).</t>
  </si>
  <si>
    <t xml:space="preserve">Papaya: Love Goddess of the Cannibals</t>
  </si>
  <si>
    <t xml:space="preserve">Vincent death (MURDER) probable but unverified (?) — NOT yet in Dies. Geologist/engineer term ambiguity. Add 1*M once confirmed.</t>
  </si>
  <si>
    <t xml:space="preserve">Focusing on the Turquoise Mountain</t>
  </si>
  <si>
    <t xml:space="preserve">Czech-Mongol co-pro; all survive. Vrutsky geologist-vs-engineer credit to confirm.</t>
  </si>
  <si>
    <t xml:space="preserve">Where the Green Ants Dream</t>
  </si>
  <si>
    <t xml:space="preserve">Herzog. Extractor-with-conscience; coded Good (not directly evil). Survives.</t>
  </si>
  <si>
    <t xml:space="preserve">A Place in the World</t>
  </si>
  <si>
    <t xml:space="preserve">Hans = ambiguous extractor (dam displacement); coded Good per paper rule. Survives.</t>
  </si>
  <si>
    <t xml:space="preserve">The Wave</t>
  </si>
  <si>
    <t xml:space="preserve">Cassandra/WARNER hero; survives. Same character as in The Quake.</t>
  </si>
  <si>
    <t xml:space="preserve">Beyond Sleep</t>
  </si>
  <si>
    <t xml:space="preserve">DUTCH-language (Hermans novel). Verify companion Arne fall-death → may add 1 death.</t>
  </si>
  <si>
    <t xml:space="preserve">The Quake</t>
  </si>
  <si>
    <t xml:space="preserve">Eikjord (hero, survives) + colleague Lindblom found dead (G). Eikjord double-counted across 2 films — decide dedup rule.</t>
  </si>
  <si>
    <t xml:space="preserve">COMPARISON: Paper baseline (US/UK) vs Foreign extension</t>
  </si>
  <si>
    <t xml:space="preserve">Foreign = 9 eligible films, 16 geologists, this pass. "?" fates not yet counted (conservative).</t>
  </si>
  <si>
    <t xml:space="preserve">Metric</t>
  </si>
  <si>
    <t xml:space="preserve">Paper n</t>
  </si>
  <si>
    <t xml:space="preserve">Paper %</t>
  </si>
  <si>
    <t xml:space="preserve">Foreign n</t>
  </si>
  <si>
    <t xml:space="preserve">Foreign %</t>
  </si>
  <si>
    <t xml:space="preserve">Note</t>
  </si>
  <si>
    <t xml:space="preserve">Geologists (total)</t>
  </si>
  <si>
    <t xml:space="preserve">Good / not-evil</t>
  </si>
  <si>
    <t xml:space="preserve">only Papaya's Vincent</t>
  </si>
  <si>
    <t xml:space="preserve">no fake geologists in foreign set</t>
  </si>
  <si>
    <t xml:space="preserve">25% vs 34%; will rise once Papaya/Beyond Sleep verified</t>
  </si>
  <si>
    <t xml:space="preserve">1960 Tanya predates Anglo norm; still low</t>
  </si>
  <si>
    <t xml:space="preserve">Major character</t>
  </si>
  <si>
    <t xml:space="preserve">69% major vs 43% — foreign skews protagonist</t>
  </si>
  <si>
    <t xml:space="preserve">fewer overt "heroes"; more ambiguous extractors</t>
  </si>
  <si>
    <t xml:space="preserve">CAUSE OF DEATH — Paper (US/UK) vs Foreign extension</t>
  </si>
  <si>
    <t xml:space="preserve">Paper deaths from published Fig. 3 (n=69). Foreign from this pass; "?" fates NOT yet counted (Papaya/Beyond Sleep/Letter Never Sent open).</t>
  </si>
  <si>
    <t xml:space="preserve">Code</t>
  </si>
  <si>
    <t xml:space="preserve">Cause</t>
  </si>
  <si>
    <t xml:space="preserve">Foreign n (confirmed)</t>
  </si>
  <si>
    <t xml:space="preserve">Foreign films (this pass)</t>
  </si>
  <si>
    <t xml:space="preserve">Murder</t>
  </si>
  <si>
    <t xml:space="preserve">— (Papaya/Vincent probable M, unverified)</t>
  </si>
  <si>
    <t xml:space="preserve">Geological</t>
  </si>
  <si>
    <t xml:space="preserve">Letter Never Sent (3*G, ≥3 of 4); The Quake (Lindblom, found dead in collapse)</t>
  </si>
  <si>
    <t xml:space="preserve">Extraterrestrial</t>
  </si>
  <si>
    <t xml:space="preserve">—</t>
  </si>
  <si>
    <t xml:space="preserve">Accident</t>
  </si>
  <si>
    <t xml:space="preserve">— (Beyond Sleep/Arne possible Ac, unverified)</t>
  </si>
  <si>
    <t xml:space="preserve">Unknown</t>
  </si>
  <si>
    <t xml:space="preserve">NOTE: Supplementary sheet codes reconcile to 67, not the printed 69 — Sheena (1984) has 1 uncoded geological death + 1 further uncoded accident. Figures above use the published Fig. 3 totals.</t>
  </si>
  <si>
    <t xml:space="preserve">NOTE: Once unverified foreign fates resolve, expect +1 M (Papaya), possibly +1 Ac/G (Beyond Sleep), possibly +1 G (Letter Never Sent 4th). Foreign death profile is so far ALL geological — no murders/aliens/fakes, unlike the paper where murder dominates (43%).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</si>
</sst>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  <charset val="1"/>
    </font>
    <font>
      <sz val="14"/>
      <color theme="1"/>
      <name val="Arial"/>
      <family val="2"/>
      <charset val="1"/>
    </font>
    <font>
      <sz val="14"/>
      <color rgb="FF333333"/>
      <name val="Arial"/>
      <family val="2"/>
      <charset val="1"/>
    </font>
    <font>
      <sz val="14"/>
      <color rgb="FF000000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Office 2013 – 2022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31" activePane="bottomLeft" state="frozen"/>
      <selection pane="topLeft" activeCell="A1" activeCellId="0" sqref="A1"/>
      <selection pane="bottomLeft" activeCell="D157" activeCellId="0" sqref="D157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1" width="28.33"/>
    <col collapsed="false" customWidth="true" hidden="false" outlineLevel="0" max="16" min="16" style="1" width="19.16"/>
  </cols>
  <sheetData>
    <row r="1" customFormat="false" ht="1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/>
      <c r="P1" s="3" t="s">
        <v>11</v>
      </c>
    </row>
    <row r="2" customFormat="false" ht="18" hidden="false" customHeight="true" outlineLevel="0" collapsed="false">
      <c r="A2" s="5" t="s">
        <v>12</v>
      </c>
      <c r="B2" s="2" t="n">
        <v>1919</v>
      </c>
      <c r="C2" s="2" t="n">
        <v>3</v>
      </c>
      <c r="D2" s="2" t="n">
        <v>3</v>
      </c>
      <c r="E2" s="2"/>
      <c r="F2" s="2" t="n">
        <v>3</v>
      </c>
      <c r="G2" s="2"/>
      <c r="H2" s="2"/>
      <c r="I2" s="2" t="n">
        <v>3</v>
      </c>
      <c r="J2" s="2"/>
      <c r="K2" s="2"/>
      <c r="L2" s="2"/>
      <c r="M2" s="2"/>
      <c r="P2" s="3" t="s">
        <v>13</v>
      </c>
      <c r="Q2" s="4" t="s">
        <v>14</v>
      </c>
      <c r="R2" s="4" t="n">
        <v>12</v>
      </c>
    </row>
    <row r="3" customFormat="false" ht="18" hidden="false" customHeight="true" outlineLevel="0" collapsed="false">
      <c r="A3" s="6" t="s">
        <v>15</v>
      </c>
      <c r="B3" s="2" t="n">
        <v>1919</v>
      </c>
      <c r="C3" s="2" t="n">
        <v>1</v>
      </c>
      <c r="D3" s="2" t="n">
        <v>1</v>
      </c>
      <c r="E3" s="2"/>
      <c r="F3" s="2"/>
      <c r="G3" s="2"/>
      <c r="H3" s="2"/>
      <c r="I3" s="2" t="n">
        <v>1</v>
      </c>
      <c r="J3" s="2"/>
      <c r="K3" s="2" t="n">
        <v>1</v>
      </c>
      <c r="L3" s="2"/>
      <c r="M3" s="2"/>
      <c r="P3" s="3" t="s">
        <v>16</v>
      </c>
      <c r="Q3" s="4" t="s">
        <v>17</v>
      </c>
      <c r="R3" s="4" t="n">
        <v>12</v>
      </c>
    </row>
    <row r="4" customFormat="false" ht="18" hidden="false" customHeight="true" outlineLevel="0" collapsed="false">
      <c r="A4" s="6" t="s">
        <v>18</v>
      </c>
      <c r="B4" s="2" t="n">
        <v>1922</v>
      </c>
      <c r="C4" s="2" t="n">
        <v>1</v>
      </c>
      <c r="D4" s="2" t="n">
        <v>1</v>
      </c>
      <c r="E4" s="2"/>
      <c r="F4" s="2"/>
      <c r="G4" s="2"/>
      <c r="H4" s="2"/>
      <c r="I4" s="2" t="n">
        <v>1</v>
      </c>
      <c r="J4" s="2"/>
      <c r="K4" s="2" t="n">
        <v>1</v>
      </c>
      <c r="L4" s="2"/>
      <c r="M4" s="2"/>
      <c r="P4" s="2" t="s">
        <v>19</v>
      </c>
      <c r="Q4" s="4" t="s">
        <v>20</v>
      </c>
      <c r="R4" s="4" t="n">
        <v>30</v>
      </c>
    </row>
    <row r="5" customFormat="false" ht="18" hidden="false" customHeight="true" outlineLevel="0" collapsed="false">
      <c r="A5" s="6" t="s">
        <v>21</v>
      </c>
      <c r="B5" s="2" t="n">
        <v>1924</v>
      </c>
      <c r="C5" s="2" t="n">
        <v>1</v>
      </c>
      <c r="D5" s="2" t="n">
        <v>1</v>
      </c>
      <c r="E5" s="2"/>
      <c r="F5" s="2"/>
      <c r="G5" s="2"/>
      <c r="H5" s="2"/>
      <c r="I5" s="2" t="n">
        <v>1</v>
      </c>
      <c r="J5" s="2"/>
      <c r="K5" s="2"/>
      <c r="L5" s="2"/>
      <c r="M5" s="2"/>
      <c r="P5" s="4" t="s">
        <v>22</v>
      </c>
      <c r="Q5" s="4" t="s">
        <v>23</v>
      </c>
      <c r="R5" s="4" t="n">
        <v>9</v>
      </c>
    </row>
    <row r="6" customFormat="false" ht="18" hidden="false" customHeight="true" outlineLevel="0" collapsed="false">
      <c r="A6" s="6" t="s">
        <v>24</v>
      </c>
      <c r="B6" s="2" t="n">
        <v>1924</v>
      </c>
      <c r="C6" s="2" t="n">
        <v>1</v>
      </c>
      <c r="D6" s="2" t="n">
        <v>1</v>
      </c>
      <c r="E6" s="2"/>
      <c r="F6" s="2"/>
      <c r="G6" s="2"/>
      <c r="H6" s="2"/>
      <c r="I6" s="2" t="n">
        <v>1</v>
      </c>
      <c r="J6" s="2"/>
      <c r="K6" s="2"/>
      <c r="L6" s="2"/>
      <c r="M6" s="2"/>
      <c r="P6" s="7" t="s">
        <v>25</v>
      </c>
      <c r="Q6" s="4" t="s">
        <v>26</v>
      </c>
      <c r="R6" s="4" t="n">
        <v>3</v>
      </c>
    </row>
    <row r="7" customFormat="false" ht="18" hidden="false" customHeight="true" outlineLevel="0" collapsed="false">
      <c r="A7" s="6" t="s">
        <v>27</v>
      </c>
      <c r="B7" s="2" t="n">
        <v>1926</v>
      </c>
      <c r="C7" s="2" t="n">
        <v>1</v>
      </c>
      <c r="D7" s="2"/>
      <c r="E7" s="2" t="n">
        <v>1</v>
      </c>
      <c r="F7" s="2"/>
      <c r="G7" s="2"/>
      <c r="H7" s="2"/>
      <c r="I7" s="2" t="n">
        <v>1</v>
      </c>
      <c r="J7" s="2"/>
      <c r="K7" s="2"/>
      <c r="L7" s="2"/>
      <c r="M7" s="2"/>
      <c r="P7" s="3" t="s">
        <v>28</v>
      </c>
      <c r="Q7" s="4" t="s">
        <v>29</v>
      </c>
      <c r="R7" s="4" t="n">
        <v>1</v>
      </c>
    </row>
    <row r="8" customFormat="false" ht="18" hidden="false" customHeight="true" outlineLevel="0" collapsed="false">
      <c r="A8" s="2" t="s">
        <v>30</v>
      </c>
      <c r="B8" s="2" t="n">
        <v>1930</v>
      </c>
      <c r="C8" s="2" t="n">
        <v>1</v>
      </c>
      <c r="D8" s="2"/>
      <c r="E8" s="2" t="n">
        <v>1</v>
      </c>
      <c r="F8" s="2"/>
      <c r="G8" s="2"/>
      <c r="H8" s="2"/>
      <c r="I8" s="2" t="n">
        <v>1</v>
      </c>
      <c r="J8" s="2"/>
      <c r="K8" s="2"/>
      <c r="L8" s="2"/>
      <c r="M8" s="2"/>
      <c r="P8" s="4" t="s">
        <v>31</v>
      </c>
      <c r="Q8" s="4" t="s">
        <v>32</v>
      </c>
      <c r="R8" s="4" t="n">
        <v>2</v>
      </c>
    </row>
    <row r="9" customFormat="false" ht="18" hidden="false" customHeight="true" outlineLevel="0" collapsed="false">
      <c r="A9" s="6" t="s">
        <v>33</v>
      </c>
      <c r="B9" s="2" t="n">
        <v>1930</v>
      </c>
      <c r="C9" s="2" t="n">
        <v>1</v>
      </c>
      <c r="D9" s="2" t="n">
        <v>1</v>
      </c>
      <c r="E9" s="2"/>
      <c r="F9" s="2"/>
      <c r="G9" s="2"/>
      <c r="H9" s="2"/>
      <c r="I9" s="2"/>
      <c r="J9" s="2" t="n">
        <v>1</v>
      </c>
      <c r="K9" s="2"/>
      <c r="L9" s="2"/>
      <c r="M9" s="2"/>
      <c r="P9" s="4"/>
      <c r="Q9" s="4"/>
      <c r="R9" s="4"/>
    </row>
    <row r="10" customFormat="false" ht="18" hidden="false" customHeight="true" outlineLevel="0" collapsed="false">
      <c r="A10" s="2" t="s">
        <v>34</v>
      </c>
      <c r="B10" s="2" t="n">
        <v>1932</v>
      </c>
      <c r="C10" s="2" t="n">
        <v>1</v>
      </c>
      <c r="D10" s="2" t="n">
        <v>1</v>
      </c>
      <c r="E10" s="2"/>
      <c r="F10" s="2"/>
      <c r="G10" s="2"/>
      <c r="H10" s="2"/>
      <c r="I10" s="2" t="n">
        <v>1</v>
      </c>
      <c r="J10" s="2"/>
      <c r="K10" s="2"/>
      <c r="L10" s="2"/>
      <c r="M10" s="2"/>
      <c r="P10" s="4" t="s">
        <v>35</v>
      </c>
      <c r="Q10" s="4"/>
      <c r="R10" s="4" t="n">
        <v>69</v>
      </c>
    </row>
    <row r="11" customFormat="false" ht="18" hidden="false" customHeight="true" outlineLevel="0" collapsed="false">
      <c r="A11" s="2" t="s">
        <v>36</v>
      </c>
      <c r="B11" s="2" t="n">
        <v>1934</v>
      </c>
      <c r="C11" s="2" t="n">
        <v>1</v>
      </c>
      <c r="D11" s="2" t="n">
        <v>1</v>
      </c>
      <c r="E11" s="2"/>
      <c r="F11" s="2"/>
      <c r="G11" s="2"/>
      <c r="H11" s="2"/>
      <c r="I11" s="2"/>
      <c r="J11" s="2" t="n">
        <v>1</v>
      </c>
      <c r="K11" s="2"/>
      <c r="L11" s="2"/>
      <c r="M11" s="2"/>
    </row>
    <row r="12" customFormat="false" ht="18" hidden="false" customHeight="true" outlineLevel="0" collapsed="false">
      <c r="A12" s="2" t="s">
        <v>37</v>
      </c>
      <c r="B12" s="2" t="n">
        <v>1935</v>
      </c>
      <c r="C12" s="2" t="n">
        <v>1</v>
      </c>
      <c r="D12" s="2" t="n">
        <v>1</v>
      </c>
      <c r="E12" s="2"/>
      <c r="F12" s="2"/>
      <c r="G12" s="2"/>
      <c r="H12" s="2"/>
      <c r="I12" s="2"/>
      <c r="J12" s="2" t="n">
        <v>1</v>
      </c>
      <c r="K12" s="2"/>
      <c r="L12" s="2"/>
      <c r="M12" s="2"/>
    </row>
    <row r="13" customFormat="false" ht="18" hidden="false" customHeight="true" outlineLevel="0" collapsed="false">
      <c r="A13" s="5" t="s">
        <v>38</v>
      </c>
      <c r="B13" s="2" t="n">
        <v>1935</v>
      </c>
      <c r="C13" s="2" t="n">
        <v>1</v>
      </c>
      <c r="D13" s="2" t="n">
        <v>1</v>
      </c>
      <c r="E13" s="2"/>
      <c r="F13" s="2"/>
      <c r="G13" s="2"/>
      <c r="H13" s="2"/>
      <c r="I13" s="2"/>
      <c r="J13" s="2" t="n">
        <v>1</v>
      </c>
      <c r="K13" s="2"/>
      <c r="L13" s="2"/>
      <c r="M13" s="2"/>
    </row>
    <row r="14" customFormat="false" ht="18" hidden="false" customHeight="true" outlineLevel="0" collapsed="false">
      <c r="A14" s="5" t="s">
        <v>39</v>
      </c>
      <c r="B14" s="2" t="n">
        <v>1936</v>
      </c>
      <c r="C14" s="2" t="n">
        <v>1</v>
      </c>
      <c r="D14" s="2" t="n">
        <v>1</v>
      </c>
      <c r="E14" s="2"/>
      <c r="F14" s="2"/>
      <c r="G14" s="2"/>
      <c r="H14" s="2"/>
      <c r="I14" s="2" t="n">
        <v>1</v>
      </c>
      <c r="J14" s="2"/>
      <c r="K14" s="2"/>
      <c r="L14" s="2"/>
      <c r="M14" s="2"/>
    </row>
    <row r="15" customFormat="false" ht="18" hidden="false" customHeight="true" outlineLevel="0" collapsed="false">
      <c r="A15" s="2" t="s">
        <v>40</v>
      </c>
      <c r="B15" s="2" t="n">
        <v>1937</v>
      </c>
      <c r="C15" s="2" t="n">
        <v>1</v>
      </c>
      <c r="D15" s="2"/>
      <c r="E15" s="2" t="n">
        <v>1</v>
      </c>
      <c r="F15" s="2"/>
      <c r="G15" s="2"/>
      <c r="H15" s="2"/>
      <c r="I15" s="2"/>
      <c r="J15" s="2" t="n">
        <v>1</v>
      </c>
      <c r="K15" s="2"/>
      <c r="L15" s="2"/>
      <c r="M15" s="2"/>
    </row>
    <row r="16" customFormat="false" ht="18" hidden="false" customHeight="true" outlineLevel="0" collapsed="false">
      <c r="A16" s="6" t="s">
        <v>41</v>
      </c>
      <c r="B16" s="2" t="n">
        <v>1937</v>
      </c>
      <c r="C16" s="2" t="n">
        <v>1</v>
      </c>
      <c r="D16" s="2" t="n">
        <v>1</v>
      </c>
      <c r="E16" s="2"/>
      <c r="F16" s="2"/>
      <c r="G16" s="2"/>
      <c r="H16" s="2"/>
      <c r="I16" s="2"/>
      <c r="J16" s="2" t="n">
        <v>1</v>
      </c>
      <c r="K16" s="2"/>
      <c r="L16" s="2"/>
      <c r="M16" s="2"/>
    </row>
    <row r="17" customFormat="false" ht="18" hidden="false" customHeight="true" outlineLevel="0" collapsed="false">
      <c r="A17" s="2" t="s">
        <v>42</v>
      </c>
      <c r="B17" s="2" t="n">
        <v>1939</v>
      </c>
      <c r="C17" s="2" t="n">
        <v>1</v>
      </c>
      <c r="D17" s="2" t="n">
        <v>1</v>
      </c>
      <c r="E17" s="2"/>
      <c r="F17" s="2"/>
      <c r="G17" s="2" t="n">
        <v>1</v>
      </c>
      <c r="H17" s="2"/>
      <c r="I17" s="2"/>
      <c r="J17" s="2" t="n">
        <v>1</v>
      </c>
      <c r="K17" s="2" t="n">
        <v>1</v>
      </c>
      <c r="L17" s="2" t="s">
        <v>20</v>
      </c>
      <c r="M17" s="3" t="s">
        <v>43</v>
      </c>
    </row>
    <row r="18" customFormat="false" ht="18" hidden="false" customHeight="true" outlineLevel="0" collapsed="false">
      <c r="A18" s="6" t="s">
        <v>44</v>
      </c>
      <c r="B18" s="6" t="n">
        <v>1939</v>
      </c>
      <c r="C18" s="6" t="n">
        <v>1</v>
      </c>
      <c r="D18" s="6" t="n">
        <v>1</v>
      </c>
      <c r="E18" s="6"/>
      <c r="F18" s="6"/>
      <c r="G18" s="6"/>
      <c r="H18" s="6"/>
      <c r="I18" s="6" t="n">
        <v>1</v>
      </c>
      <c r="J18" s="6"/>
      <c r="K18" s="6"/>
      <c r="L18" s="2"/>
      <c r="M18" s="2"/>
    </row>
    <row r="19" customFormat="false" ht="18" hidden="false" customHeight="true" outlineLevel="0" collapsed="false">
      <c r="A19" s="6" t="s">
        <v>45</v>
      </c>
      <c r="B19" s="2" t="n">
        <v>1939</v>
      </c>
      <c r="C19" s="2" t="n">
        <v>1</v>
      </c>
      <c r="D19" s="2"/>
      <c r="E19" s="2" t="n">
        <v>1</v>
      </c>
      <c r="F19" s="2" t="n">
        <v>1</v>
      </c>
      <c r="G19" s="2"/>
      <c r="H19" s="2"/>
      <c r="I19" s="2"/>
      <c r="J19" s="2" t="n">
        <v>1</v>
      </c>
      <c r="K19" s="2"/>
      <c r="L19" s="2"/>
      <c r="M19" s="2"/>
    </row>
    <row r="20" customFormat="false" ht="18" hidden="false" customHeight="true" outlineLevel="0" collapsed="false">
      <c r="A20" s="2" t="s">
        <v>46</v>
      </c>
      <c r="B20" s="2" t="n">
        <v>1940</v>
      </c>
      <c r="C20" s="2" t="n">
        <v>1</v>
      </c>
      <c r="D20" s="2" t="n">
        <v>1</v>
      </c>
      <c r="E20" s="2"/>
      <c r="F20" s="2"/>
      <c r="G20" s="2"/>
      <c r="H20" s="2"/>
      <c r="I20" s="2"/>
      <c r="J20" s="2" t="n">
        <v>1</v>
      </c>
      <c r="K20" s="2"/>
      <c r="L20" s="2"/>
      <c r="M20" s="2"/>
    </row>
    <row r="21" customFormat="false" ht="18" hidden="false" customHeight="true" outlineLevel="0" collapsed="false">
      <c r="A21" s="2" t="s">
        <v>47</v>
      </c>
      <c r="B21" s="2" t="n">
        <v>1940</v>
      </c>
      <c r="C21" s="2" t="n">
        <v>1</v>
      </c>
      <c r="D21" s="2" t="n">
        <v>1</v>
      </c>
      <c r="E21" s="2"/>
      <c r="F21" s="2"/>
      <c r="G21" s="2"/>
      <c r="H21" s="2"/>
      <c r="I21" s="2" t="n">
        <v>1</v>
      </c>
      <c r="J21" s="2"/>
      <c r="K21" s="2"/>
      <c r="L21" s="2"/>
      <c r="M21" s="2"/>
    </row>
    <row r="22" customFormat="false" ht="18" hidden="false" customHeight="true" outlineLevel="0" collapsed="false">
      <c r="A22" s="6" t="s">
        <v>48</v>
      </c>
      <c r="B22" s="2" t="n">
        <v>1940</v>
      </c>
      <c r="C22" s="2" t="n">
        <v>1</v>
      </c>
      <c r="D22" s="2" t="n">
        <v>1</v>
      </c>
      <c r="E22" s="2"/>
      <c r="F22" s="2"/>
      <c r="G22" s="2"/>
      <c r="H22" s="2"/>
      <c r="I22" s="2"/>
      <c r="J22" s="2" t="n">
        <v>1</v>
      </c>
      <c r="K22" s="2"/>
      <c r="L22" s="2"/>
      <c r="M22" s="2"/>
    </row>
    <row r="23" customFormat="false" ht="18" hidden="false" customHeight="true" outlineLevel="0" collapsed="false">
      <c r="A23" s="5" t="s">
        <v>49</v>
      </c>
      <c r="B23" s="2" t="n">
        <v>1940</v>
      </c>
      <c r="C23" s="2" t="n">
        <v>2</v>
      </c>
      <c r="D23" s="2" t="n">
        <v>1</v>
      </c>
      <c r="E23" s="2" t="n">
        <v>1</v>
      </c>
      <c r="F23" s="2" t="n">
        <v>1</v>
      </c>
      <c r="G23" s="2"/>
      <c r="H23" s="2"/>
      <c r="I23" s="2" t="n">
        <v>2</v>
      </c>
      <c r="J23" s="2"/>
      <c r="K23" s="2"/>
      <c r="L23" s="2"/>
      <c r="M23" s="2"/>
    </row>
    <row r="24" customFormat="false" ht="18" hidden="false" customHeight="true" outlineLevel="0" collapsed="false">
      <c r="A24" s="6" t="s">
        <v>50</v>
      </c>
      <c r="B24" s="6" t="n">
        <v>1942</v>
      </c>
      <c r="C24" s="6" t="n">
        <v>1</v>
      </c>
      <c r="D24" s="6" t="n">
        <v>1</v>
      </c>
      <c r="E24" s="6"/>
      <c r="F24" s="6"/>
      <c r="G24" s="6"/>
      <c r="H24" s="6"/>
      <c r="I24" s="6"/>
      <c r="J24" s="6" t="n">
        <v>1</v>
      </c>
      <c r="K24" s="6"/>
      <c r="L24" s="2"/>
      <c r="M24" s="2"/>
    </row>
    <row r="25" customFormat="false" ht="18" hidden="false" customHeight="true" outlineLevel="0" collapsed="false">
      <c r="A25" s="2" t="s">
        <v>51</v>
      </c>
      <c r="B25" s="2" t="n">
        <v>1943</v>
      </c>
      <c r="C25" s="2" t="n">
        <v>1</v>
      </c>
      <c r="D25" s="2" t="n">
        <v>1</v>
      </c>
      <c r="E25" s="2"/>
      <c r="F25" s="2" t="n">
        <v>1</v>
      </c>
      <c r="G25" s="2"/>
      <c r="H25" s="2"/>
      <c r="I25" s="2"/>
      <c r="J25" s="2" t="n">
        <v>1</v>
      </c>
      <c r="K25" s="2"/>
      <c r="L25" s="2"/>
      <c r="M25" s="2"/>
    </row>
    <row r="26" customFormat="false" ht="18" hidden="false" customHeight="true" outlineLevel="0" collapsed="false">
      <c r="A26" s="2" t="s">
        <v>52</v>
      </c>
      <c r="B26" s="2" t="n">
        <v>1944</v>
      </c>
      <c r="C26" s="2" t="n">
        <v>1</v>
      </c>
      <c r="D26" s="2" t="n">
        <v>1</v>
      </c>
      <c r="E26" s="2"/>
      <c r="F26" s="2"/>
      <c r="G26" s="2" t="n">
        <v>1</v>
      </c>
      <c r="H26" s="2"/>
      <c r="I26" s="2"/>
      <c r="J26" s="2" t="n">
        <v>1</v>
      </c>
      <c r="K26" s="2"/>
      <c r="L26" s="2" t="s">
        <v>20</v>
      </c>
      <c r="M26" s="2" t="s">
        <v>19</v>
      </c>
    </row>
    <row r="27" customFormat="false" ht="18" hidden="false" customHeight="true" outlineLevel="0" collapsed="false">
      <c r="A27" s="2" t="s">
        <v>53</v>
      </c>
      <c r="B27" s="2" t="n">
        <v>1944</v>
      </c>
      <c r="C27" s="2" t="n">
        <v>1</v>
      </c>
      <c r="D27" s="2"/>
      <c r="E27" s="2" t="n">
        <v>1</v>
      </c>
      <c r="F27" s="2"/>
      <c r="G27" s="2" t="n">
        <v>1</v>
      </c>
      <c r="H27" s="2"/>
      <c r="I27" s="2" t="n">
        <v>1</v>
      </c>
      <c r="J27" s="2"/>
      <c r="K27" s="2"/>
      <c r="L27" s="2" t="s">
        <v>23</v>
      </c>
      <c r="M27" s="2" t="s">
        <v>54</v>
      </c>
    </row>
    <row r="28" customFormat="false" ht="18" hidden="false" customHeight="true" outlineLevel="0" collapsed="false">
      <c r="A28" s="2" t="s">
        <v>55</v>
      </c>
      <c r="B28" s="2" t="n">
        <v>1945</v>
      </c>
      <c r="C28" s="2" t="n">
        <v>1</v>
      </c>
      <c r="D28" s="2"/>
      <c r="E28" s="2" t="n">
        <v>1</v>
      </c>
      <c r="F28" s="2"/>
      <c r="G28" s="2" t="n">
        <v>1</v>
      </c>
      <c r="H28" s="2"/>
      <c r="I28" s="2"/>
      <c r="J28" s="2" t="n">
        <v>1</v>
      </c>
      <c r="K28" s="2"/>
      <c r="L28" s="2" t="s">
        <v>20</v>
      </c>
      <c r="M28" s="3" t="s">
        <v>56</v>
      </c>
    </row>
    <row r="29" customFormat="false" ht="18" hidden="false" customHeight="true" outlineLevel="0" collapsed="false">
      <c r="A29" s="2" t="s">
        <v>57</v>
      </c>
      <c r="B29" s="2" t="n">
        <v>1945</v>
      </c>
      <c r="C29" s="2" t="n">
        <v>2</v>
      </c>
      <c r="D29" s="2" t="n">
        <v>1</v>
      </c>
      <c r="E29" s="2" t="n">
        <v>1</v>
      </c>
      <c r="F29" s="2" t="n">
        <v>1</v>
      </c>
      <c r="G29" s="2" t="n">
        <v>1</v>
      </c>
      <c r="H29" s="2"/>
      <c r="I29" s="2" t="n">
        <v>1</v>
      </c>
      <c r="J29" s="2" t="n">
        <v>1</v>
      </c>
      <c r="K29" s="2"/>
      <c r="L29" s="2" t="s">
        <v>23</v>
      </c>
      <c r="M29" s="3" t="s">
        <v>58</v>
      </c>
    </row>
    <row r="30" customFormat="false" ht="18" hidden="false" customHeight="true" outlineLevel="0" collapsed="false">
      <c r="A30" s="2" t="s">
        <v>59</v>
      </c>
      <c r="B30" s="2" t="n">
        <v>1946</v>
      </c>
      <c r="C30" s="2" t="n">
        <v>2</v>
      </c>
      <c r="D30" s="2" t="n">
        <v>1</v>
      </c>
      <c r="E30" s="2" t="n">
        <v>1</v>
      </c>
      <c r="F30" s="2"/>
      <c r="G30" s="2" t="n">
        <v>1</v>
      </c>
      <c r="H30" s="2"/>
      <c r="I30" s="2" t="n">
        <v>1</v>
      </c>
      <c r="J30" s="2" t="n">
        <v>1</v>
      </c>
      <c r="K30" s="2"/>
      <c r="L30" s="2" t="s">
        <v>23</v>
      </c>
      <c r="M30" s="3" t="s">
        <v>60</v>
      </c>
    </row>
    <row r="31" customFormat="false" ht="18" hidden="false" customHeight="true" outlineLevel="0" collapsed="false">
      <c r="A31" s="5" t="s">
        <v>61</v>
      </c>
      <c r="B31" s="2" t="n">
        <v>1946</v>
      </c>
      <c r="C31" s="2" t="n">
        <v>1</v>
      </c>
      <c r="D31" s="2" t="n">
        <v>1</v>
      </c>
      <c r="E31" s="2"/>
      <c r="F31" s="2"/>
      <c r="G31" s="2"/>
      <c r="H31" s="2"/>
      <c r="I31" s="2"/>
      <c r="J31" s="2" t="n">
        <v>1</v>
      </c>
      <c r="K31" s="2"/>
      <c r="L31" s="2"/>
      <c r="M31" s="2"/>
    </row>
    <row r="32" customFormat="false" ht="18" hidden="false" customHeight="true" outlineLevel="0" collapsed="false">
      <c r="A32" s="2" t="s">
        <v>62</v>
      </c>
      <c r="B32" s="2" t="n">
        <v>1947</v>
      </c>
      <c r="C32" s="2" t="n">
        <v>1</v>
      </c>
      <c r="D32" s="2" t="n">
        <v>1</v>
      </c>
      <c r="E32" s="2"/>
      <c r="F32" s="2"/>
      <c r="G32" s="2"/>
      <c r="H32" s="2"/>
      <c r="I32" s="2"/>
      <c r="J32" s="2" t="n">
        <v>1</v>
      </c>
      <c r="K32" s="2"/>
      <c r="L32" s="2"/>
      <c r="M32" s="2"/>
    </row>
    <row r="33" customFormat="false" ht="18" hidden="false" customHeight="true" outlineLevel="0" collapsed="false">
      <c r="A33" s="6" t="s">
        <v>63</v>
      </c>
      <c r="B33" s="2" t="n">
        <v>1947</v>
      </c>
      <c r="C33" s="2" t="n">
        <v>1</v>
      </c>
      <c r="D33" s="2" t="n">
        <v>1</v>
      </c>
      <c r="E33" s="2"/>
      <c r="F33" s="2"/>
      <c r="G33" s="2" t="n">
        <v>1</v>
      </c>
      <c r="H33" s="2"/>
      <c r="I33" s="2"/>
      <c r="J33" s="2" t="n">
        <v>1</v>
      </c>
      <c r="K33" s="2"/>
      <c r="L33" s="2" t="s">
        <v>20</v>
      </c>
      <c r="M33" s="2" t="s">
        <v>19</v>
      </c>
    </row>
    <row r="34" customFormat="false" ht="18" hidden="false" customHeight="true" outlineLevel="0" collapsed="false">
      <c r="A34" s="6" t="s">
        <v>64</v>
      </c>
      <c r="B34" s="6" t="n">
        <v>1949</v>
      </c>
      <c r="C34" s="6" t="n">
        <v>1</v>
      </c>
      <c r="D34" s="6"/>
      <c r="E34" s="6" t="n">
        <v>1</v>
      </c>
      <c r="F34" s="6" t="n">
        <v>1</v>
      </c>
      <c r="G34" s="6" t="n">
        <v>1</v>
      </c>
      <c r="H34" s="6"/>
      <c r="I34" s="6" t="n">
        <v>1</v>
      </c>
      <c r="J34" s="6"/>
      <c r="K34" s="6"/>
      <c r="L34" s="2" t="s">
        <v>23</v>
      </c>
      <c r="M34" s="3" t="s">
        <v>65</v>
      </c>
    </row>
    <row r="35" customFormat="false" ht="18" hidden="false" customHeight="true" outlineLevel="0" collapsed="false">
      <c r="A35" s="2" t="s">
        <v>66</v>
      </c>
      <c r="B35" s="2" t="n">
        <v>1949</v>
      </c>
      <c r="C35" s="2" t="n">
        <v>1</v>
      </c>
      <c r="D35" s="2" t="n">
        <v>1</v>
      </c>
      <c r="E35" s="2"/>
      <c r="F35" s="2"/>
      <c r="G35" s="2"/>
      <c r="H35" s="2"/>
      <c r="I35" s="2" t="n">
        <v>1</v>
      </c>
      <c r="J35" s="2"/>
      <c r="K35" s="2"/>
      <c r="L35" s="2"/>
      <c r="M35" s="2"/>
    </row>
    <row r="36" customFormat="false" ht="18" hidden="false" customHeight="true" outlineLevel="0" collapsed="false">
      <c r="A36" s="2" t="s">
        <v>67</v>
      </c>
      <c r="B36" s="2" t="n">
        <v>1950</v>
      </c>
      <c r="C36" s="2" t="n">
        <v>2</v>
      </c>
      <c r="D36" s="2"/>
      <c r="E36" s="2" t="n">
        <v>2</v>
      </c>
      <c r="F36" s="2" t="n">
        <v>2</v>
      </c>
      <c r="G36" s="2" t="n">
        <v>2</v>
      </c>
      <c r="H36" s="2"/>
      <c r="I36" s="2"/>
      <c r="J36" s="2" t="n">
        <v>2</v>
      </c>
      <c r="K36" s="2"/>
      <c r="L36" s="2" t="s">
        <v>68</v>
      </c>
      <c r="M36" s="2" t="s">
        <v>19</v>
      </c>
    </row>
    <row r="37" customFormat="false" ht="18" hidden="false" customHeight="true" outlineLevel="0" collapsed="false">
      <c r="A37" s="2" t="s">
        <v>69</v>
      </c>
      <c r="B37" s="2" t="n">
        <v>1950</v>
      </c>
      <c r="C37" s="2" t="n">
        <v>1</v>
      </c>
      <c r="D37" s="2" t="n">
        <v>1</v>
      </c>
      <c r="E37" s="2"/>
      <c r="F37" s="2"/>
      <c r="G37" s="2"/>
      <c r="H37" s="2"/>
      <c r="I37" s="2"/>
      <c r="J37" s="2" t="n">
        <v>1</v>
      </c>
      <c r="K37" s="2"/>
      <c r="L37" s="2"/>
      <c r="M37" s="2"/>
    </row>
    <row r="38" customFormat="false" ht="18" hidden="false" customHeight="true" outlineLevel="0" collapsed="false">
      <c r="A38" s="2" t="s">
        <v>70</v>
      </c>
      <c r="B38" s="2" t="n">
        <v>1951</v>
      </c>
      <c r="C38" s="2" t="n">
        <v>1</v>
      </c>
      <c r="D38" s="2" t="n">
        <v>1</v>
      </c>
      <c r="E38" s="2"/>
      <c r="F38" s="2"/>
      <c r="G38" s="2"/>
      <c r="H38" s="2"/>
      <c r="I38" s="2" t="n">
        <v>1</v>
      </c>
      <c r="J38" s="2"/>
      <c r="K38" s="2"/>
      <c r="L38" s="2"/>
      <c r="M38" s="2"/>
    </row>
    <row r="39" customFormat="false" ht="18" hidden="false" customHeight="true" outlineLevel="0" collapsed="false">
      <c r="A39" s="2" t="s">
        <v>71</v>
      </c>
      <c r="B39" s="2" t="n">
        <v>1952</v>
      </c>
      <c r="C39" s="2" t="n">
        <v>3</v>
      </c>
      <c r="D39" s="2" t="n">
        <v>2</v>
      </c>
      <c r="E39" s="2" t="n">
        <v>1</v>
      </c>
      <c r="F39" s="2" t="n">
        <v>1</v>
      </c>
      <c r="G39" s="2" t="n">
        <v>1</v>
      </c>
      <c r="H39" s="2"/>
      <c r="I39" s="2"/>
      <c r="J39" s="2" t="n">
        <v>3</v>
      </c>
      <c r="K39" s="2"/>
      <c r="L39" s="2" t="s">
        <v>20</v>
      </c>
      <c r="M39" s="2" t="s">
        <v>19</v>
      </c>
    </row>
    <row r="40" customFormat="false" ht="18" hidden="false" customHeight="true" outlineLevel="0" collapsed="false">
      <c r="A40" s="2" t="s">
        <v>72</v>
      </c>
      <c r="B40" s="2" t="n">
        <v>1952</v>
      </c>
      <c r="C40" s="2" t="n">
        <v>3</v>
      </c>
      <c r="D40" s="2" t="n">
        <v>1</v>
      </c>
      <c r="E40" s="2" t="n">
        <v>2</v>
      </c>
      <c r="F40" s="2" t="n">
        <v>2</v>
      </c>
      <c r="G40" s="2" t="n">
        <v>1</v>
      </c>
      <c r="H40" s="2"/>
      <c r="I40" s="2"/>
      <c r="J40" s="2" t="n">
        <v>3</v>
      </c>
      <c r="K40" s="2"/>
      <c r="L40" s="2" t="s">
        <v>20</v>
      </c>
      <c r="M40" s="2" t="s">
        <v>19</v>
      </c>
    </row>
    <row r="41" customFormat="false" ht="18" hidden="false" customHeight="true" outlineLevel="0" collapsed="false">
      <c r="A41" s="5" t="s">
        <v>73</v>
      </c>
      <c r="B41" s="2" t="n">
        <v>1952</v>
      </c>
      <c r="C41" s="2" t="n">
        <v>1</v>
      </c>
      <c r="D41" s="2" t="n">
        <v>1</v>
      </c>
      <c r="E41" s="2"/>
      <c r="F41" s="2"/>
      <c r="G41" s="2"/>
      <c r="H41" s="2"/>
      <c r="I41" s="2"/>
      <c r="J41" s="2" t="n">
        <v>1</v>
      </c>
      <c r="K41" s="2"/>
      <c r="L41" s="2"/>
      <c r="M41" s="2"/>
    </row>
    <row r="42" customFormat="false" ht="18" hidden="false" customHeight="true" outlineLevel="0" collapsed="false">
      <c r="A42" s="6" t="s">
        <v>74</v>
      </c>
      <c r="B42" s="2" t="n">
        <v>1953</v>
      </c>
      <c r="C42" s="2" t="n">
        <v>1</v>
      </c>
      <c r="D42" s="2" t="n">
        <v>1</v>
      </c>
      <c r="E42" s="2"/>
      <c r="F42" s="2"/>
      <c r="G42" s="2"/>
      <c r="H42" s="2"/>
      <c r="I42" s="2" t="n">
        <v>1</v>
      </c>
      <c r="J42" s="2"/>
      <c r="K42" s="2"/>
      <c r="L42" s="2"/>
      <c r="M42" s="2"/>
    </row>
    <row r="43" customFormat="false" ht="18" hidden="false" customHeight="true" outlineLevel="0" collapsed="false">
      <c r="A43" s="2" t="s">
        <v>75</v>
      </c>
      <c r="B43" s="2" t="n">
        <v>1954</v>
      </c>
      <c r="C43" s="2" t="n">
        <v>1</v>
      </c>
      <c r="D43" s="2" t="n">
        <v>1</v>
      </c>
      <c r="E43" s="2"/>
      <c r="F43" s="2"/>
      <c r="G43" s="2"/>
      <c r="H43" s="2"/>
      <c r="I43" s="2" t="n">
        <v>1</v>
      </c>
      <c r="J43" s="2"/>
      <c r="K43" s="2"/>
      <c r="L43" s="2"/>
      <c r="M43" s="2"/>
    </row>
    <row r="44" customFormat="false" ht="18" hidden="false" customHeight="true" outlineLevel="0" collapsed="false">
      <c r="A44" s="2" t="s">
        <v>76</v>
      </c>
      <c r="B44" s="2" t="n">
        <v>1955</v>
      </c>
      <c r="C44" s="2" t="n">
        <v>1</v>
      </c>
      <c r="D44" s="2" t="n">
        <v>1</v>
      </c>
      <c r="E44" s="2"/>
      <c r="F44" s="2"/>
      <c r="G44" s="2"/>
      <c r="H44" s="2"/>
      <c r="I44" s="2" t="n">
        <v>1</v>
      </c>
      <c r="J44" s="2"/>
      <c r="K44" s="2" t="n">
        <v>1</v>
      </c>
      <c r="L44" s="2"/>
      <c r="M44" s="2"/>
    </row>
    <row r="45" customFormat="false" ht="18" hidden="false" customHeight="true" outlineLevel="0" collapsed="false">
      <c r="A45" s="5" t="s">
        <v>77</v>
      </c>
      <c r="B45" s="2" t="n">
        <v>1955</v>
      </c>
      <c r="C45" s="2" t="n">
        <v>1</v>
      </c>
      <c r="D45" s="2" t="n">
        <v>1</v>
      </c>
      <c r="E45" s="2"/>
      <c r="F45" s="2"/>
      <c r="G45" s="2"/>
      <c r="H45" s="2"/>
      <c r="I45" s="2" t="n">
        <v>1</v>
      </c>
      <c r="J45" s="2"/>
      <c r="K45" s="2"/>
      <c r="L45" s="2"/>
      <c r="M45" s="2"/>
    </row>
    <row r="46" customFormat="false" ht="18" hidden="false" customHeight="true" outlineLevel="0" collapsed="false">
      <c r="A46" s="2" t="s">
        <v>78</v>
      </c>
      <c r="B46" s="2" t="n">
        <v>1956</v>
      </c>
      <c r="C46" s="2" t="n">
        <v>1</v>
      </c>
      <c r="D46" s="2" t="n">
        <v>1</v>
      </c>
      <c r="E46" s="2"/>
      <c r="F46" s="2"/>
      <c r="G46" s="2"/>
      <c r="H46" s="2"/>
      <c r="I46" s="2"/>
      <c r="J46" s="2" t="n">
        <v>1</v>
      </c>
      <c r="K46" s="2"/>
      <c r="L46" s="2"/>
      <c r="M46" s="2"/>
    </row>
    <row r="47" customFormat="false" ht="18" hidden="false" customHeight="true" outlineLevel="0" collapsed="false">
      <c r="A47" s="2" t="s">
        <v>79</v>
      </c>
      <c r="B47" s="2" t="n">
        <v>1956</v>
      </c>
      <c r="C47" s="2" t="n">
        <v>1</v>
      </c>
      <c r="D47" s="2" t="n">
        <v>1</v>
      </c>
      <c r="E47" s="2"/>
      <c r="F47" s="2"/>
      <c r="G47" s="2"/>
      <c r="H47" s="2"/>
      <c r="I47" s="2" t="n">
        <v>1</v>
      </c>
      <c r="J47" s="2"/>
      <c r="K47" s="2"/>
      <c r="L47" s="2"/>
      <c r="M47" s="2"/>
    </row>
    <row r="48" customFormat="false" ht="18" hidden="false" customHeight="true" outlineLevel="0" collapsed="false">
      <c r="A48" s="5" t="s">
        <v>80</v>
      </c>
      <c r="B48" s="2" t="n">
        <v>1956</v>
      </c>
      <c r="C48" s="2" t="n">
        <v>1</v>
      </c>
      <c r="D48" s="2" t="n">
        <v>1</v>
      </c>
      <c r="E48" s="2"/>
      <c r="F48" s="2"/>
      <c r="G48" s="2"/>
      <c r="H48" s="2"/>
      <c r="I48" s="2" t="n">
        <v>1</v>
      </c>
      <c r="J48" s="2"/>
      <c r="K48" s="2"/>
      <c r="L48" s="2"/>
      <c r="M48" s="2"/>
    </row>
    <row r="49" customFormat="false" ht="18" hidden="false" customHeight="true" outlineLevel="0" collapsed="false">
      <c r="A49" s="6" t="s">
        <v>81</v>
      </c>
      <c r="B49" s="2" t="n">
        <v>1957</v>
      </c>
      <c r="C49" s="6" t="n">
        <v>1</v>
      </c>
      <c r="D49" s="6" t="n">
        <v>1</v>
      </c>
      <c r="E49" s="6"/>
      <c r="F49" s="6"/>
      <c r="G49" s="6" t="n">
        <v>1</v>
      </c>
      <c r="H49" s="6"/>
      <c r="I49" s="6"/>
      <c r="J49" s="6" t="n">
        <v>1</v>
      </c>
      <c r="K49" s="6"/>
      <c r="L49" s="2" t="s">
        <v>20</v>
      </c>
      <c r="M49" s="3" t="s">
        <v>82</v>
      </c>
    </row>
    <row r="50" customFormat="false" ht="18" hidden="false" customHeight="true" outlineLevel="0" collapsed="false">
      <c r="A50" s="4" t="s">
        <v>83</v>
      </c>
      <c r="B50" s="2" t="n">
        <v>1957</v>
      </c>
      <c r="C50" s="6" t="n">
        <v>1</v>
      </c>
      <c r="D50" s="6" t="n">
        <v>1</v>
      </c>
      <c r="E50" s="6"/>
      <c r="F50" s="6"/>
      <c r="G50" s="6"/>
      <c r="H50" s="6"/>
      <c r="I50" s="6" t="n">
        <v>1</v>
      </c>
      <c r="J50" s="6"/>
      <c r="K50" s="6"/>
      <c r="L50" s="2"/>
      <c r="M50" s="3"/>
      <c r="N50" s="8"/>
    </row>
    <row r="51" customFormat="false" ht="18" hidden="false" customHeight="true" outlineLevel="0" collapsed="false">
      <c r="A51" s="2" t="s">
        <v>84</v>
      </c>
      <c r="B51" s="2" t="n">
        <v>1957</v>
      </c>
      <c r="C51" s="2" t="n">
        <v>1</v>
      </c>
      <c r="D51" s="2" t="n">
        <v>1</v>
      </c>
      <c r="E51" s="2"/>
      <c r="F51" s="2"/>
      <c r="G51" s="2"/>
      <c r="H51" s="2"/>
      <c r="I51" s="2" t="n">
        <v>1</v>
      </c>
      <c r="J51" s="2"/>
      <c r="K51" s="2"/>
      <c r="L51" s="2"/>
      <c r="M51" s="2"/>
    </row>
    <row r="52" customFormat="false" ht="18" hidden="false" customHeight="true" outlineLevel="0" collapsed="false">
      <c r="A52" s="2" t="s">
        <v>85</v>
      </c>
      <c r="B52" s="2" t="n">
        <v>1957</v>
      </c>
      <c r="C52" s="2" t="n">
        <v>2</v>
      </c>
      <c r="D52" s="2" t="n">
        <v>2</v>
      </c>
      <c r="E52" s="2"/>
      <c r="F52" s="2"/>
      <c r="G52" s="2"/>
      <c r="H52" s="2"/>
      <c r="I52" s="2" t="n">
        <v>2</v>
      </c>
      <c r="J52" s="2"/>
      <c r="K52" s="2" t="n">
        <v>2</v>
      </c>
      <c r="L52" s="2"/>
      <c r="M52" s="2"/>
    </row>
    <row r="53" customFormat="false" ht="18" hidden="false" customHeight="true" outlineLevel="0" collapsed="false">
      <c r="A53" s="2" t="s">
        <v>86</v>
      </c>
      <c r="B53" s="2" t="n">
        <v>1957</v>
      </c>
      <c r="C53" s="2" t="n">
        <v>3</v>
      </c>
      <c r="D53" s="2" t="n">
        <v>3</v>
      </c>
      <c r="E53" s="2"/>
      <c r="F53" s="2"/>
      <c r="G53" s="2" t="n">
        <v>1</v>
      </c>
      <c r="H53" s="2"/>
      <c r="I53" s="2" t="n">
        <v>1</v>
      </c>
      <c r="J53" s="2" t="n">
        <v>2</v>
      </c>
      <c r="K53" s="2" t="n">
        <v>2</v>
      </c>
      <c r="L53" s="2" t="s">
        <v>14</v>
      </c>
      <c r="M53" s="3" t="s">
        <v>87</v>
      </c>
    </row>
    <row r="54" customFormat="false" ht="18" hidden="false" customHeight="true" outlineLevel="0" collapsed="false">
      <c r="A54" s="2" t="s">
        <v>88</v>
      </c>
      <c r="B54" s="2" t="n">
        <v>1957</v>
      </c>
      <c r="C54" s="2" t="n">
        <v>4</v>
      </c>
      <c r="D54" s="2" t="n">
        <v>4</v>
      </c>
      <c r="E54" s="2"/>
      <c r="F54" s="2"/>
      <c r="G54" s="2"/>
      <c r="H54" s="2" t="n">
        <v>1</v>
      </c>
      <c r="I54" s="2" t="n">
        <v>3</v>
      </c>
      <c r="J54" s="2" t="n">
        <v>1</v>
      </c>
      <c r="K54" s="2" t="n">
        <v>2</v>
      </c>
      <c r="L54" s="2"/>
      <c r="M54" s="2"/>
    </row>
    <row r="55" customFormat="false" ht="18" hidden="false" customHeight="true" outlineLevel="0" collapsed="false">
      <c r="A55" s="2" t="s">
        <v>89</v>
      </c>
      <c r="B55" s="2" t="n">
        <v>1958</v>
      </c>
      <c r="C55" s="2" t="n">
        <v>1</v>
      </c>
      <c r="D55" s="2" t="n">
        <v>1</v>
      </c>
      <c r="E55" s="2"/>
      <c r="F55" s="2"/>
      <c r="G55" s="2" t="n">
        <v>1</v>
      </c>
      <c r="H55" s="2"/>
      <c r="I55" s="2"/>
      <c r="J55" s="2" t="n">
        <v>1</v>
      </c>
      <c r="K55" s="2"/>
      <c r="L55" s="2" t="s">
        <v>20</v>
      </c>
      <c r="M55" s="3" t="s">
        <v>90</v>
      </c>
    </row>
    <row r="56" customFormat="false" ht="18" hidden="false" customHeight="true" outlineLevel="0" collapsed="false">
      <c r="A56" s="9" t="s">
        <v>91</v>
      </c>
      <c r="B56" s="4" t="n">
        <v>1958</v>
      </c>
      <c r="C56" s="4" t="n">
        <v>1</v>
      </c>
      <c r="D56" s="4" t="n">
        <v>1</v>
      </c>
      <c r="E56" s="4"/>
      <c r="F56" s="4"/>
      <c r="G56" s="4"/>
      <c r="H56" s="4"/>
      <c r="I56" s="4" t="n">
        <v>1</v>
      </c>
      <c r="J56" s="4"/>
      <c r="K56" s="2" t="n">
        <v>1</v>
      </c>
      <c r="L56" s="4"/>
      <c r="M56" s="4"/>
    </row>
    <row r="57" customFormat="false" ht="18" hidden="false" customHeight="true" outlineLevel="0" collapsed="false">
      <c r="A57" s="2" t="s">
        <v>92</v>
      </c>
      <c r="B57" s="2" t="n">
        <v>1959</v>
      </c>
      <c r="C57" s="2" t="n">
        <v>3</v>
      </c>
      <c r="D57" s="2" t="n">
        <v>2</v>
      </c>
      <c r="E57" s="2" t="n">
        <v>1</v>
      </c>
      <c r="F57" s="2"/>
      <c r="G57" s="2" t="n">
        <v>1</v>
      </c>
      <c r="H57" s="2"/>
      <c r="I57" s="2" t="n">
        <v>2</v>
      </c>
      <c r="J57" s="2" t="n">
        <v>1</v>
      </c>
      <c r="K57" s="2" t="n">
        <v>2</v>
      </c>
      <c r="L57" s="4" t="s">
        <v>20</v>
      </c>
      <c r="M57" s="3" t="s">
        <v>93</v>
      </c>
    </row>
    <row r="58" customFormat="false" ht="18" hidden="false" customHeight="true" outlineLevel="0" collapsed="false">
      <c r="A58" s="2" t="s">
        <v>94</v>
      </c>
      <c r="B58" s="2" t="n">
        <v>1959</v>
      </c>
      <c r="C58" s="2" t="n">
        <v>3</v>
      </c>
      <c r="D58" s="2" t="n">
        <v>3</v>
      </c>
      <c r="E58" s="2"/>
      <c r="F58" s="2"/>
      <c r="G58" s="2" t="n">
        <v>1</v>
      </c>
      <c r="H58" s="2"/>
      <c r="I58" s="2" t="n">
        <v>2</v>
      </c>
      <c r="J58" s="2" t="n">
        <v>1</v>
      </c>
      <c r="K58" s="2"/>
      <c r="L58" s="2" t="s">
        <v>14</v>
      </c>
      <c r="M58" s="3" t="s">
        <v>95</v>
      </c>
    </row>
    <row r="59" customFormat="false" ht="18" hidden="false" customHeight="true" outlineLevel="0" collapsed="false">
      <c r="A59" s="2" t="s">
        <v>96</v>
      </c>
      <c r="B59" s="2" t="n">
        <v>1960</v>
      </c>
      <c r="C59" s="2" t="n">
        <v>1</v>
      </c>
      <c r="D59" s="2" t="n">
        <v>1</v>
      </c>
      <c r="E59" s="2"/>
      <c r="F59" s="2"/>
      <c r="G59" s="2"/>
      <c r="H59" s="2"/>
      <c r="I59" s="2" t="n">
        <v>1</v>
      </c>
      <c r="J59" s="2"/>
      <c r="K59" s="2" t="n">
        <v>1</v>
      </c>
      <c r="L59" s="2"/>
      <c r="M59" s="2"/>
    </row>
    <row r="60" customFormat="false" ht="18" hidden="false" customHeight="true" outlineLevel="0" collapsed="false">
      <c r="A60" s="6" t="s">
        <v>97</v>
      </c>
      <c r="B60" s="2" t="n">
        <v>1961</v>
      </c>
      <c r="C60" s="2" t="n">
        <v>1</v>
      </c>
      <c r="D60" s="2"/>
      <c r="E60" s="2" t="n">
        <v>1</v>
      </c>
      <c r="F60" s="2"/>
      <c r="G60" s="2" t="n">
        <v>1</v>
      </c>
      <c r="H60" s="2"/>
      <c r="I60" s="2"/>
      <c r="J60" s="2" t="n">
        <v>1</v>
      </c>
      <c r="K60" s="2"/>
      <c r="L60" s="2" t="s">
        <v>26</v>
      </c>
      <c r="M60" s="3" t="s">
        <v>98</v>
      </c>
    </row>
    <row r="61" customFormat="false" ht="18" hidden="false" customHeight="true" outlineLevel="0" collapsed="false">
      <c r="A61" s="2" t="s">
        <v>99</v>
      </c>
      <c r="B61" s="2" t="n">
        <v>1962</v>
      </c>
      <c r="C61" s="2" t="n">
        <v>1</v>
      </c>
      <c r="D61" s="2"/>
      <c r="E61" s="2" t="n">
        <v>1</v>
      </c>
      <c r="F61" s="2"/>
      <c r="G61" s="2" t="n">
        <v>1</v>
      </c>
      <c r="H61" s="2"/>
      <c r="I61" s="2"/>
      <c r="J61" s="2" t="n">
        <v>1</v>
      </c>
      <c r="K61" s="2"/>
      <c r="L61" s="2" t="s">
        <v>20</v>
      </c>
      <c r="M61" s="3" t="s">
        <v>100</v>
      </c>
    </row>
    <row r="62" customFormat="false" ht="18" hidden="false" customHeight="true" outlineLevel="0" collapsed="false">
      <c r="A62" s="2" t="s">
        <v>101</v>
      </c>
      <c r="B62" s="2" t="n">
        <v>1965</v>
      </c>
      <c r="C62" s="2" t="n">
        <v>3</v>
      </c>
      <c r="D62" s="2" t="n">
        <v>3</v>
      </c>
      <c r="E62" s="2"/>
      <c r="F62" s="2"/>
      <c r="G62" s="2" t="n">
        <v>1</v>
      </c>
      <c r="H62" s="2" t="n">
        <v>1</v>
      </c>
      <c r="I62" s="2" t="n">
        <v>3</v>
      </c>
      <c r="J62" s="2"/>
      <c r="K62" s="2" t="n">
        <v>1</v>
      </c>
      <c r="L62" s="2" t="s">
        <v>17</v>
      </c>
      <c r="M62" s="3" t="s">
        <v>102</v>
      </c>
    </row>
    <row r="63" customFormat="false" ht="18" hidden="false" customHeight="true" outlineLevel="0" collapsed="false">
      <c r="A63" s="2" t="s">
        <v>103</v>
      </c>
      <c r="B63" s="2" t="n">
        <v>1965</v>
      </c>
      <c r="C63" s="2" t="n">
        <v>1</v>
      </c>
      <c r="D63" s="2" t="n">
        <v>1</v>
      </c>
      <c r="E63" s="2"/>
      <c r="F63" s="2"/>
      <c r="G63" s="2"/>
      <c r="H63" s="2"/>
      <c r="I63" s="2" t="n">
        <v>1</v>
      </c>
      <c r="J63" s="2"/>
      <c r="K63" s="2" t="n">
        <v>1</v>
      </c>
      <c r="L63" s="2"/>
      <c r="M63" s="2"/>
    </row>
    <row r="64" customFormat="false" ht="18" hidden="false" customHeight="true" outlineLevel="0" collapsed="false">
      <c r="A64" s="6" t="s">
        <v>104</v>
      </c>
      <c r="B64" s="6" t="n">
        <v>1966</v>
      </c>
      <c r="C64" s="6" t="n">
        <v>1</v>
      </c>
      <c r="D64" s="6" t="n">
        <v>1</v>
      </c>
      <c r="E64" s="6"/>
      <c r="F64" s="6"/>
      <c r="G64" s="6" t="n">
        <v>1</v>
      </c>
      <c r="H64" s="6"/>
      <c r="I64" s="6"/>
      <c r="J64" s="6" t="n">
        <v>1</v>
      </c>
      <c r="K64" s="6"/>
      <c r="L64" s="2" t="s">
        <v>14</v>
      </c>
      <c r="M64" s="3" t="s">
        <v>105</v>
      </c>
    </row>
    <row r="65" customFormat="false" ht="18" hidden="false" customHeight="true" outlineLevel="0" collapsed="false">
      <c r="A65" s="6" t="s">
        <v>106</v>
      </c>
      <c r="B65" s="6" t="n">
        <v>1967</v>
      </c>
      <c r="C65" s="6" t="n">
        <v>1</v>
      </c>
      <c r="D65" s="6" t="n">
        <v>1</v>
      </c>
      <c r="E65" s="6"/>
      <c r="F65" s="6"/>
      <c r="G65" s="6"/>
      <c r="H65" s="6" t="n">
        <v>1</v>
      </c>
      <c r="I65" s="6" t="n">
        <v>1</v>
      </c>
      <c r="J65" s="6"/>
      <c r="K65" s="6"/>
      <c r="L65" s="2"/>
      <c r="M65" s="2"/>
    </row>
    <row r="66" customFormat="false" ht="18" hidden="false" customHeight="true" outlineLevel="0" collapsed="false">
      <c r="A66" s="2" t="s">
        <v>107</v>
      </c>
      <c r="B66" s="2" t="n">
        <v>1967</v>
      </c>
      <c r="C66" s="2" t="n">
        <v>5</v>
      </c>
      <c r="D66" s="2" t="n">
        <v>5</v>
      </c>
      <c r="E66" s="2"/>
      <c r="F66" s="2"/>
      <c r="G66" s="2" t="n">
        <v>5</v>
      </c>
      <c r="H66" s="2"/>
      <c r="I66" s="2"/>
      <c r="J66" s="2" t="n">
        <v>5</v>
      </c>
      <c r="K66" s="2"/>
      <c r="L66" s="2" t="s">
        <v>108</v>
      </c>
      <c r="M66" s="3" t="s">
        <v>109</v>
      </c>
    </row>
    <row r="67" customFormat="false" ht="18" hidden="false" customHeight="true" outlineLevel="0" collapsed="false">
      <c r="A67" s="3" t="s">
        <v>110</v>
      </c>
      <c r="B67" s="4" t="n">
        <v>1967</v>
      </c>
      <c r="C67" s="4" t="n">
        <v>1</v>
      </c>
      <c r="D67" s="4" t="n">
        <v>1</v>
      </c>
      <c r="E67" s="4"/>
      <c r="F67" s="4"/>
      <c r="G67" s="4"/>
      <c r="H67" s="4"/>
      <c r="I67" s="4" t="n">
        <v>1</v>
      </c>
      <c r="J67" s="4"/>
      <c r="K67" s="4"/>
      <c r="L67" s="2"/>
      <c r="M67" s="4"/>
    </row>
    <row r="68" customFormat="false" ht="18" hidden="false" customHeight="true" outlineLevel="0" collapsed="false">
      <c r="A68" s="2" t="s">
        <v>111</v>
      </c>
      <c r="B68" s="2" t="n">
        <v>1968</v>
      </c>
      <c r="C68" s="2" t="n">
        <v>2</v>
      </c>
      <c r="D68" s="2" t="n">
        <v>2</v>
      </c>
      <c r="E68" s="2"/>
      <c r="F68" s="2"/>
      <c r="G68" s="2"/>
      <c r="H68" s="2"/>
      <c r="I68" s="2"/>
      <c r="J68" s="2" t="n">
        <v>2</v>
      </c>
      <c r="K68" s="2"/>
      <c r="L68" s="4"/>
      <c r="M68" s="2"/>
    </row>
    <row r="69" customFormat="false" ht="18" hidden="false" customHeight="true" outlineLevel="0" collapsed="false">
      <c r="A69" s="2" t="s">
        <v>112</v>
      </c>
      <c r="B69" s="2" t="n">
        <v>1969</v>
      </c>
      <c r="C69" s="2" t="n">
        <v>1</v>
      </c>
      <c r="D69" s="2" t="n">
        <v>1</v>
      </c>
      <c r="E69" s="2"/>
      <c r="F69" s="2"/>
      <c r="G69" s="2"/>
      <c r="H69" s="2"/>
      <c r="I69" s="2" t="n">
        <v>1</v>
      </c>
      <c r="J69" s="2"/>
      <c r="K69" s="2"/>
      <c r="L69" s="2"/>
      <c r="M69" s="4"/>
    </row>
    <row r="70" customFormat="false" ht="18" hidden="false" customHeight="true" outlineLevel="0" collapsed="false">
      <c r="A70" s="6" t="s">
        <v>113</v>
      </c>
      <c r="B70" s="2" t="n">
        <v>1969</v>
      </c>
      <c r="C70" s="2" t="n">
        <v>1</v>
      </c>
      <c r="D70" s="2" t="n">
        <v>1</v>
      </c>
      <c r="E70" s="2"/>
      <c r="F70" s="2"/>
      <c r="G70" s="2"/>
      <c r="H70" s="2"/>
      <c r="I70" s="2"/>
      <c r="J70" s="2" t="n">
        <v>1</v>
      </c>
      <c r="K70" s="2"/>
      <c r="L70" s="2"/>
      <c r="M70" s="2"/>
    </row>
    <row r="71" customFormat="false" ht="18" hidden="false" customHeight="true" outlineLevel="0" collapsed="false">
      <c r="A71" s="2" t="s">
        <v>114</v>
      </c>
      <c r="B71" s="2" t="n">
        <v>1970</v>
      </c>
      <c r="C71" s="2" t="n">
        <v>2</v>
      </c>
      <c r="D71" s="2" t="n">
        <v>2</v>
      </c>
      <c r="E71" s="2"/>
      <c r="F71" s="2"/>
      <c r="G71" s="2" t="n">
        <v>1</v>
      </c>
      <c r="H71" s="2"/>
      <c r="I71" s="2" t="n">
        <v>1</v>
      </c>
      <c r="J71" s="2" t="n">
        <v>1</v>
      </c>
      <c r="K71" s="2" t="n">
        <v>1</v>
      </c>
      <c r="L71" s="2" t="s">
        <v>26</v>
      </c>
      <c r="M71" s="3" t="s">
        <v>115</v>
      </c>
    </row>
    <row r="72" customFormat="false" ht="18" hidden="false" customHeight="true" outlineLevel="0" collapsed="false">
      <c r="A72" s="2" t="s">
        <v>116</v>
      </c>
      <c r="B72" s="2" t="n">
        <v>1971</v>
      </c>
      <c r="C72" s="2" t="n">
        <v>1</v>
      </c>
      <c r="D72" s="2"/>
      <c r="E72" s="2" t="n">
        <v>1</v>
      </c>
      <c r="F72" s="2"/>
      <c r="G72" s="2" t="n">
        <v>1</v>
      </c>
      <c r="H72" s="2"/>
      <c r="I72" s="2"/>
      <c r="J72" s="2" t="n">
        <v>1</v>
      </c>
      <c r="K72" s="2"/>
      <c r="L72" s="2" t="s">
        <v>29</v>
      </c>
      <c r="M72" s="3" t="s">
        <v>28</v>
      </c>
    </row>
    <row r="73" customFormat="false" ht="18" hidden="false" customHeight="true" outlineLevel="0" collapsed="false">
      <c r="A73" s="2" t="s">
        <v>117</v>
      </c>
      <c r="B73" s="2" t="n">
        <v>1972</v>
      </c>
      <c r="C73" s="2" t="n">
        <v>1</v>
      </c>
      <c r="D73" s="2" t="n">
        <v>1</v>
      </c>
      <c r="E73" s="2"/>
      <c r="F73" s="2"/>
      <c r="G73" s="2"/>
      <c r="H73" s="2"/>
      <c r="I73" s="2" t="n">
        <v>1</v>
      </c>
      <c r="J73" s="2"/>
      <c r="K73" s="2"/>
      <c r="L73" s="4"/>
      <c r="M73" s="2"/>
    </row>
    <row r="74" customFormat="false" ht="18" hidden="false" customHeight="true" outlineLevel="0" collapsed="false">
      <c r="A74" s="6" t="s">
        <v>118</v>
      </c>
      <c r="B74" s="2" t="n">
        <v>1972</v>
      </c>
      <c r="C74" s="2" t="n">
        <v>1</v>
      </c>
      <c r="D74" s="2" t="n">
        <v>1</v>
      </c>
      <c r="E74" s="2"/>
      <c r="F74" s="2"/>
      <c r="G74" s="2" t="n">
        <v>1</v>
      </c>
      <c r="H74" s="2"/>
      <c r="I74" s="2"/>
      <c r="J74" s="2" t="n">
        <v>1</v>
      </c>
      <c r="K74" s="2"/>
      <c r="L74" s="2" t="s">
        <v>14</v>
      </c>
      <c r="M74" s="3" t="s">
        <v>119</v>
      </c>
    </row>
    <row r="75" customFormat="false" ht="18" hidden="false" customHeight="true" outlineLevel="0" collapsed="false">
      <c r="A75" s="2" t="s">
        <v>120</v>
      </c>
      <c r="B75" s="2" t="n">
        <v>1974</v>
      </c>
      <c r="C75" s="2" t="n">
        <v>1</v>
      </c>
      <c r="D75" s="2"/>
      <c r="E75" s="2" t="n">
        <v>1</v>
      </c>
      <c r="F75" s="2"/>
      <c r="G75" s="2" t="n">
        <v>1</v>
      </c>
      <c r="H75" s="2"/>
      <c r="I75" s="2"/>
      <c r="J75" s="2" t="n">
        <v>1</v>
      </c>
      <c r="K75" s="2"/>
      <c r="L75" s="2" t="s">
        <v>23</v>
      </c>
      <c r="M75" s="3" t="s">
        <v>121</v>
      </c>
    </row>
    <row r="76" customFormat="false" ht="18" hidden="false" customHeight="true" outlineLevel="0" collapsed="false">
      <c r="A76" s="2" t="s">
        <v>122</v>
      </c>
      <c r="B76" s="2" t="n">
        <v>1974</v>
      </c>
      <c r="C76" s="2" t="n">
        <v>1</v>
      </c>
      <c r="D76" s="2" t="n">
        <v>1</v>
      </c>
      <c r="E76" s="2"/>
      <c r="F76" s="2"/>
      <c r="G76" s="2" t="n">
        <v>1</v>
      </c>
      <c r="H76" s="2"/>
      <c r="I76" s="2"/>
      <c r="J76" s="2" t="n">
        <v>1</v>
      </c>
      <c r="K76" s="2"/>
      <c r="L76" s="2" t="s">
        <v>17</v>
      </c>
      <c r="M76" s="3" t="s">
        <v>123</v>
      </c>
    </row>
    <row r="77" customFormat="false" ht="18" hidden="false" customHeight="true" outlineLevel="0" collapsed="false">
      <c r="A77" s="2" t="s">
        <v>124</v>
      </c>
      <c r="B77" s="2" t="n">
        <v>1975</v>
      </c>
      <c r="C77" s="2" t="n">
        <v>1</v>
      </c>
      <c r="D77" s="2" t="n">
        <v>1</v>
      </c>
      <c r="E77" s="2"/>
      <c r="F77" s="2"/>
      <c r="G77" s="2"/>
      <c r="H77" s="2"/>
      <c r="I77" s="2"/>
      <c r="J77" s="2" t="n">
        <v>1</v>
      </c>
      <c r="K77" s="2"/>
      <c r="L77" s="2"/>
      <c r="M77" s="2"/>
    </row>
    <row r="78" customFormat="false" ht="18" hidden="false" customHeight="true" outlineLevel="0" collapsed="false">
      <c r="A78" s="2" t="s">
        <v>125</v>
      </c>
      <c r="B78" s="2" t="n">
        <v>1976</v>
      </c>
      <c r="C78" s="2" t="n">
        <v>1</v>
      </c>
      <c r="D78" s="2" t="n">
        <v>1</v>
      </c>
      <c r="E78" s="2"/>
      <c r="F78" s="2"/>
      <c r="G78" s="2" t="n">
        <v>1</v>
      </c>
      <c r="H78" s="2"/>
      <c r="I78" s="2" t="n">
        <v>1</v>
      </c>
      <c r="J78" s="2"/>
      <c r="K78" s="2"/>
      <c r="L78" s="2" t="s">
        <v>14</v>
      </c>
      <c r="M78" s="7" t="s">
        <v>126</v>
      </c>
    </row>
    <row r="79" customFormat="false" ht="18" hidden="false" customHeight="true" outlineLevel="0" collapsed="false">
      <c r="A79" s="2" t="s">
        <v>127</v>
      </c>
      <c r="B79" s="2" t="n">
        <v>1976</v>
      </c>
      <c r="C79" s="2" t="n">
        <v>1</v>
      </c>
      <c r="D79" s="2" t="n">
        <v>1</v>
      </c>
      <c r="E79" s="2"/>
      <c r="F79" s="2"/>
      <c r="G79" s="2"/>
      <c r="H79" s="2"/>
      <c r="I79" s="2"/>
      <c r="J79" s="2" t="n">
        <v>1</v>
      </c>
      <c r="K79" s="2"/>
      <c r="L79" s="2"/>
      <c r="M79" s="2"/>
    </row>
    <row r="80" customFormat="false" ht="18" hidden="false" customHeight="true" outlineLevel="0" collapsed="false">
      <c r="A80" s="2" t="s">
        <v>128</v>
      </c>
      <c r="B80" s="2" t="n">
        <v>1977</v>
      </c>
      <c r="C80" s="2" t="n">
        <v>1</v>
      </c>
      <c r="D80" s="2" t="n">
        <v>1</v>
      </c>
      <c r="E80" s="2"/>
      <c r="F80" s="2"/>
      <c r="G80" s="2" t="n">
        <v>1</v>
      </c>
      <c r="H80" s="2"/>
      <c r="I80" s="2" t="n">
        <v>1</v>
      </c>
      <c r="J80" s="2"/>
      <c r="K80" s="2"/>
      <c r="L80" s="2" t="s">
        <v>20</v>
      </c>
      <c r="M80" s="3" t="s">
        <v>129</v>
      </c>
    </row>
    <row r="81" customFormat="false" ht="18" hidden="false" customHeight="true" outlineLevel="0" collapsed="false">
      <c r="A81" s="2" t="s">
        <v>130</v>
      </c>
      <c r="B81" s="2" t="n">
        <v>1977</v>
      </c>
      <c r="C81" s="2" t="n">
        <v>1</v>
      </c>
      <c r="D81" s="2" t="n">
        <v>1</v>
      </c>
      <c r="E81" s="2"/>
      <c r="F81" s="2"/>
      <c r="G81" s="2"/>
      <c r="H81" s="2"/>
      <c r="I81" s="2" t="n">
        <v>1</v>
      </c>
      <c r="J81" s="2"/>
      <c r="K81" s="2"/>
      <c r="L81" s="2"/>
      <c r="M81" s="2"/>
    </row>
    <row r="82" customFormat="false" ht="18" hidden="false" customHeight="true" outlineLevel="0" collapsed="false">
      <c r="A82" s="2" t="s">
        <v>131</v>
      </c>
      <c r="B82" s="2" t="n">
        <v>1978</v>
      </c>
      <c r="C82" s="2" t="n">
        <v>1</v>
      </c>
      <c r="D82" s="2" t="n">
        <v>1</v>
      </c>
      <c r="E82" s="2"/>
      <c r="F82" s="2"/>
      <c r="G82" s="2"/>
      <c r="H82" s="2"/>
      <c r="I82" s="2"/>
      <c r="J82" s="2" t="n">
        <v>1</v>
      </c>
      <c r="K82" s="2"/>
      <c r="L82" s="4"/>
      <c r="M82" s="2"/>
    </row>
    <row r="83" customFormat="false" ht="18" hidden="false" customHeight="true" outlineLevel="0" collapsed="false">
      <c r="A83" s="6" t="s">
        <v>132</v>
      </c>
      <c r="B83" s="2" t="n">
        <v>1979</v>
      </c>
      <c r="C83" s="2" t="n">
        <v>1</v>
      </c>
      <c r="D83" s="2" t="n">
        <v>1</v>
      </c>
      <c r="E83" s="2"/>
      <c r="F83" s="2"/>
      <c r="G83" s="2"/>
      <c r="H83" s="2"/>
      <c r="I83" s="2"/>
      <c r="J83" s="2" t="n">
        <v>1</v>
      </c>
      <c r="K83" s="2"/>
      <c r="L83" s="2"/>
      <c r="M83" s="2"/>
    </row>
    <row r="84" customFormat="false" ht="18" hidden="false" customHeight="true" outlineLevel="0" collapsed="false">
      <c r="A84" s="2" t="s">
        <v>133</v>
      </c>
      <c r="B84" s="2" t="n">
        <v>1980</v>
      </c>
      <c r="C84" s="2" t="n">
        <v>1</v>
      </c>
      <c r="D84" s="2" t="n">
        <v>1</v>
      </c>
      <c r="E84" s="2"/>
      <c r="F84" s="2"/>
      <c r="G84" s="2" t="n">
        <v>1</v>
      </c>
      <c r="H84" s="2"/>
      <c r="I84" s="2"/>
      <c r="J84" s="2" t="n">
        <v>1</v>
      </c>
      <c r="K84" s="2"/>
      <c r="L84" s="2" t="s">
        <v>17</v>
      </c>
      <c r="M84" s="3" t="s">
        <v>134</v>
      </c>
    </row>
    <row r="85" customFormat="false" ht="18" hidden="false" customHeight="true" outlineLevel="0" collapsed="false">
      <c r="A85" s="2" t="s">
        <v>135</v>
      </c>
      <c r="B85" s="2" t="n">
        <v>1981</v>
      </c>
      <c r="C85" s="2" t="n">
        <v>2</v>
      </c>
      <c r="D85" s="2" t="n">
        <v>2</v>
      </c>
      <c r="E85" s="2"/>
      <c r="F85" s="2"/>
      <c r="G85" s="2" t="n">
        <v>1</v>
      </c>
      <c r="H85" s="2"/>
      <c r="I85" s="2" t="n">
        <v>1</v>
      </c>
      <c r="J85" s="2" t="n">
        <v>1</v>
      </c>
      <c r="K85" s="2" t="n">
        <v>1</v>
      </c>
      <c r="L85" s="2" t="s">
        <v>17</v>
      </c>
      <c r="M85" s="2"/>
    </row>
    <row r="86" customFormat="false" ht="18" hidden="false" customHeight="true" outlineLevel="0" collapsed="false">
      <c r="A86" s="6" t="s">
        <v>136</v>
      </c>
      <c r="B86" s="2" t="n">
        <v>1982</v>
      </c>
      <c r="C86" s="2" t="n">
        <v>1</v>
      </c>
      <c r="D86" s="2" t="n">
        <v>1</v>
      </c>
      <c r="E86" s="2"/>
      <c r="F86" s="2"/>
      <c r="G86" s="2" t="n">
        <v>1</v>
      </c>
      <c r="H86" s="2"/>
      <c r="I86" s="2"/>
      <c r="J86" s="2" t="n">
        <v>1</v>
      </c>
      <c r="K86" s="2"/>
      <c r="L86" s="2" t="s">
        <v>20</v>
      </c>
      <c r="M86" s="2" t="s">
        <v>19</v>
      </c>
    </row>
    <row r="87" customFormat="false" ht="18" hidden="false" customHeight="true" outlineLevel="0" collapsed="false">
      <c r="A87" s="6" t="s">
        <v>137</v>
      </c>
      <c r="B87" s="2" t="n">
        <v>1983</v>
      </c>
      <c r="C87" s="2" t="n">
        <v>2</v>
      </c>
      <c r="D87" s="2" t="n">
        <v>2</v>
      </c>
      <c r="E87" s="2"/>
      <c r="F87" s="2"/>
      <c r="G87" s="2"/>
      <c r="H87" s="2" t="n">
        <v>2</v>
      </c>
      <c r="I87" s="2" t="n">
        <v>1</v>
      </c>
      <c r="J87" s="2" t="n">
        <v>1</v>
      </c>
      <c r="K87" s="2"/>
      <c r="L87" s="2"/>
      <c r="M87" s="2"/>
    </row>
    <row r="88" customFormat="false" ht="18" hidden="false" customHeight="true" outlineLevel="0" collapsed="false">
      <c r="A88" s="4" t="s">
        <v>138</v>
      </c>
      <c r="B88" s="2" t="n">
        <v>1984</v>
      </c>
      <c r="C88" s="2" t="n">
        <v>2</v>
      </c>
      <c r="D88" s="2" t="n">
        <v>2</v>
      </c>
      <c r="E88" s="2"/>
      <c r="F88" s="2"/>
      <c r="G88" s="2" t="n">
        <v>2</v>
      </c>
      <c r="H88" s="2" t="n">
        <v>1</v>
      </c>
      <c r="I88" s="2"/>
      <c r="J88" s="2" t="n">
        <v>2</v>
      </c>
      <c r="K88" s="2"/>
      <c r="L88" s="2" t="s">
        <v>17</v>
      </c>
      <c r="M88" s="7" t="s">
        <v>139</v>
      </c>
      <c r="N88" s="4"/>
    </row>
    <row r="89" customFormat="false" ht="18" hidden="false" customHeight="true" outlineLevel="0" collapsed="false">
      <c r="A89" s="2" t="s">
        <v>140</v>
      </c>
      <c r="B89" s="2" t="n">
        <v>1985</v>
      </c>
      <c r="C89" s="2" t="n">
        <v>2</v>
      </c>
      <c r="D89" s="2" t="n">
        <v>1</v>
      </c>
      <c r="E89" s="2" t="n">
        <v>1</v>
      </c>
      <c r="F89" s="2"/>
      <c r="G89" s="2" t="n">
        <v>1</v>
      </c>
      <c r="H89" s="2" t="n">
        <v>1</v>
      </c>
      <c r="I89" s="2" t="n">
        <v>1</v>
      </c>
      <c r="J89" s="2" t="n">
        <v>1</v>
      </c>
      <c r="K89" s="2"/>
      <c r="L89" s="2" t="s">
        <v>20</v>
      </c>
      <c r="M89" s="2" t="s">
        <v>19</v>
      </c>
    </row>
    <row r="90" customFormat="false" ht="18" hidden="false" customHeight="true" outlineLevel="0" collapsed="false">
      <c r="A90" s="2" t="s">
        <v>141</v>
      </c>
      <c r="B90" s="2" t="n">
        <v>1985</v>
      </c>
      <c r="C90" s="2" t="n">
        <v>1</v>
      </c>
      <c r="D90" s="2" t="n">
        <v>1</v>
      </c>
      <c r="E90" s="2"/>
      <c r="F90" s="2"/>
      <c r="G90" s="2"/>
      <c r="H90" s="2"/>
      <c r="I90" s="2"/>
      <c r="J90" s="2" t="n">
        <v>1</v>
      </c>
      <c r="K90" s="2"/>
      <c r="L90" s="2"/>
      <c r="M90" s="2"/>
    </row>
    <row r="91" customFormat="false" ht="18" hidden="false" customHeight="true" outlineLevel="0" collapsed="false">
      <c r="A91" s="2" t="s">
        <v>142</v>
      </c>
      <c r="B91" s="2" t="n">
        <v>1985</v>
      </c>
      <c r="C91" s="2" t="n">
        <v>2</v>
      </c>
      <c r="D91" s="2" t="n">
        <v>2</v>
      </c>
      <c r="E91" s="2"/>
      <c r="F91" s="2"/>
      <c r="G91" s="2" t="n">
        <v>2</v>
      </c>
      <c r="H91" s="2"/>
      <c r="I91" s="2"/>
      <c r="J91" s="2" t="n">
        <v>2</v>
      </c>
      <c r="K91" s="2"/>
      <c r="L91" s="2" t="s">
        <v>143</v>
      </c>
      <c r="M91" s="3" t="s">
        <v>144</v>
      </c>
    </row>
    <row r="92" customFormat="false" ht="18" hidden="false" customHeight="true" outlineLevel="0" collapsed="false">
      <c r="A92" s="2" t="s">
        <v>145</v>
      </c>
      <c r="B92" s="2" t="n">
        <v>1989</v>
      </c>
      <c r="C92" s="2" t="n">
        <v>1</v>
      </c>
      <c r="D92" s="2" t="n">
        <v>1</v>
      </c>
      <c r="E92" s="2"/>
      <c r="F92" s="2"/>
      <c r="G92" s="2"/>
      <c r="H92" s="2"/>
      <c r="I92" s="2" t="n">
        <v>1</v>
      </c>
      <c r="J92" s="2"/>
      <c r="K92" s="2"/>
      <c r="L92" s="2"/>
      <c r="M92" s="2"/>
    </row>
    <row r="93" customFormat="false" ht="18" hidden="false" customHeight="true" outlineLevel="0" collapsed="false">
      <c r="A93" s="2" t="s">
        <v>146</v>
      </c>
      <c r="B93" s="2" t="n">
        <v>1989</v>
      </c>
      <c r="C93" s="2" t="n">
        <v>1</v>
      </c>
      <c r="D93" s="2" t="n">
        <v>1</v>
      </c>
      <c r="E93" s="2"/>
      <c r="F93" s="2"/>
      <c r="G93" s="2" t="n">
        <v>1</v>
      </c>
      <c r="H93" s="2"/>
      <c r="I93" s="2"/>
      <c r="J93" s="2" t="n">
        <v>1</v>
      </c>
      <c r="K93" s="2"/>
      <c r="L93" s="2" t="s">
        <v>23</v>
      </c>
      <c r="M93" s="3" t="s">
        <v>147</v>
      </c>
    </row>
    <row r="94" customFormat="false" ht="18" hidden="false" customHeight="true" outlineLevel="0" collapsed="false">
      <c r="A94" s="2" t="s">
        <v>148</v>
      </c>
      <c r="B94" s="2" t="n">
        <v>1991</v>
      </c>
      <c r="C94" s="2" t="n">
        <v>1</v>
      </c>
      <c r="D94" s="2" t="n">
        <v>1</v>
      </c>
      <c r="E94" s="2"/>
      <c r="F94" s="2"/>
      <c r="G94" s="2" t="n">
        <v>1</v>
      </c>
      <c r="H94" s="2"/>
      <c r="I94" s="2"/>
      <c r="J94" s="2" t="n">
        <v>1</v>
      </c>
      <c r="K94" s="2"/>
      <c r="L94" s="2" t="s">
        <v>23</v>
      </c>
      <c r="M94" s="3" t="s">
        <v>149</v>
      </c>
    </row>
    <row r="95" customFormat="false" ht="18" hidden="false" customHeight="true" outlineLevel="0" collapsed="false">
      <c r="A95" s="2" t="s">
        <v>150</v>
      </c>
      <c r="B95" s="2" t="n">
        <v>1992</v>
      </c>
      <c r="C95" s="2" t="n">
        <v>1</v>
      </c>
      <c r="D95" s="2" t="n">
        <v>1</v>
      </c>
      <c r="E95" s="2"/>
      <c r="F95" s="2"/>
      <c r="G95" s="2"/>
      <c r="H95" s="2"/>
      <c r="I95" s="2" t="n">
        <v>1</v>
      </c>
      <c r="J95" s="2"/>
      <c r="K95" s="2"/>
      <c r="L95" s="2"/>
      <c r="M95" s="2"/>
    </row>
    <row r="96" customFormat="false" ht="18" hidden="false" customHeight="true" outlineLevel="0" collapsed="false">
      <c r="A96" s="2" t="s">
        <v>151</v>
      </c>
      <c r="B96" s="2" t="n">
        <v>1992</v>
      </c>
      <c r="C96" s="2" t="n">
        <v>1</v>
      </c>
      <c r="D96" s="2" t="n">
        <v>1</v>
      </c>
      <c r="E96" s="2"/>
      <c r="F96" s="2"/>
      <c r="G96" s="2"/>
      <c r="H96" s="2"/>
      <c r="I96" s="2" t="n">
        <v>1</v>
      </c>
      <c r="J96" s="2"/>
      <c r="K96" s="2" t="n">
        <v>1</v>
      </c>
      <c r="L96" s="2"/>
      <c r="M96" s="2"/>
    </row>
    <row r="97" customFormat="false" ht="18" hidden="false" customHeight="true" outlineLevel="0" collapsed="false">
      <c r="A97" s="2" t="s">
        <v>152</v>
      </c>
      <c r="B97" s="2" t="n">
        <v>1993</v>
      </c>
      <c r="C97" s="2" t="n">
        <v>1</v>
      </c>
      <c r="D97" s="2" t="n">
        <v>1</v>
      </c>
      <c r="E97" s="2"/>
      <c r="F97" s="2"/>
      <c r="G97" s="2"/>
      <c r="H97" s="2"/>
      <c r="I97" s="2" t="n">
        <v>1</v>
      </c>
      <c r="J97" s="2"/>
      <c r="K97" s="2" t="n">
        <v>1</v>
      </c>
      <c r="L97" s="2"/>
      <c r="M97" s="2"/>
    </row>
    <row r="98" customFormat="false" ht="18" hidden="false" customHeight="true" outlineLevel="0" collapsed="false">
      <c r="A98" s="2" t="s">
        <v>153</v>
      </c>
      <c r="B98" s="2" t="n">
        <v>1995</v>
      </c>
      <c r="C98" s="2" t="n">
        <v>1</v>
      </c>
      <c r="D98" s="2" t="n">
        <v>1</v>
      </c>
      <c r="E98" s="2"/>
      <c r="F98" s="2"/>
      <c r="G98" s="2"/>
      <c r="H98" s="2"/>
      <c r="I98" s="2"/>
      <c r="J98" s="2" t="n">
        <v>1</v>
      </c>
      <c r="K98" s="2"/>
      <c r="L98" s="2"/>
      <c r="M98" s="2"/>
    </row>
    <row r="99" customFormat="false" ht="18" hidden="false" customHeight="true" outlineLevel="0" collapsed="false">
      <c r="A99" s="2" t="s">
        <v>154</v>
      </c>
      <c r="B99" s="2" t="n">
        <v>1995</v>
      </c>
      <c r="C99" s="2" t="n">
        <v>1</v>
      </c>
      <c r="D99" s="2" t="n">
        <v>1</v>
      </c>
      <c r="E99" s="2"/>
      <c r="F99" s="2"/>
      <c r="G99" s="2"/>
      <c r="H99" s="2"/>
      <c r="I99" s="2"/>
      <c r="J99" s="2" t="n">
        <v>1</v>
      </c>
      <c r="K99" s="2"/>
      <c r="L99" s="2"/>
      <c r="M99" s="2"/>
    </row>
    <row r="100" customFormat="false" ht="18" hidden="false" customHeight="true" outlineLevel="0" collapsed="false">
      <c r="A100" s="2" t="s">
        <v>155</v>
      </c>
      <c r="B100" s="2" t="n">
        <v>1996</v>
      </c>
      <c r="C100" s="2" t="n">
        <v>1</v>
      </c>
      <c r="D100" s="2" t="n">
        <v>1</v>
      </c>
      <c r="E100" s="2"/>
      <c r="F100" s="2"/>
      <c r="G100" s="2"/>
      <c r="H100" s="2" t="n">
        <v>1</v>
      </c>
      <c r="I100" s="2" t="n">
        <v>1</v>
      </c>
      <c r="J100" s="2"/>
      <c r="K100" s="2"/>
      <c r="L100" s="2"/>
      <c r="M100" s="2"/>
    </row>
    <row r="101" customFormat="false" ht="18" hidden="false" customHeight="true" outlineLevel="0" collapsed="false">
      <c r="A101" s="2" t="s">
        <v>156</v>
      </c>
      <c r="B101" s="2" t="n">
        <v>1997</v>
      </c>
      <c r="C101" s="2" t="n">
        <v>7</v>
      </c>
      <c r="D101" s="2" t="n">
        <v>7</v>
      </c>
      <c r="E101" s="2"/>
      <c r="F101" s="2"/>
      <c r="G101" s="2" t="n">
        <v>2</v>
      </c>
      <c r="H101" s="2" t="n">
        <v>2</v>
      </c>
      <c r="I101" s="2" t="n">
        <v>1</v>
      </c>
      <c r="J101" s="2" t="n">
        <v>6</v>
      </c>
      <c r="K101" s="2" t="n">
        <v>7</v>
      </c>
      <c r="L101" s="2" t="s">
        <v>157</v>
      </c>
      <c r="M101" s="3" t="s">
        <v>158</v>
      </c>
    </row>
    <row r="102" customFormat="false" ht="18" hidden="false" customHeight="true" outlineLevel="0" collapsed="false">
      <c r="A102" s="2" t="s">
        <v>159</v>
      </c>
      <c r="B102" s="2" t="n">
        <v>1997</v>
      </c>
      <c r="C102" s="2" t="n">
        <v>1</v>
      </c>
      <c r="D102" s="2" t="n">
        <v>1</v>
      </c>
      <c r="E102" s="2"/>
      <c r="F102" s="2"/>
      <c r="G102" s="2"/>
      <c r="H102" s="2" t="n">
        <v>1</v>
      </c>
      <c r="I102" s="2" t="n">
        <v>1</v>
      </c>
      <c r="J102" s="2"/>
      <c r="K102" s="2" t="n">
        <v>1</v>
      </c>
      <c r="L102" s="2"/>
      <c r="M102" s="2"/>
    </row>
    <row r="103" customFormat="false" ht="18" hidden="false" customHeight="true" outlineLevel="0" collapsed="false">
      <c r="A103" s="2" t="s">
        <v>160</v>
      </c>
      <c r="B103" s="2" t="n">
        <v>1997</v>
      </c>
      <c r="C103" s="2" t="n">
        <v>2</v>
      </c>
      <c r="D103" s="2" t="n">
        <v>2</v>
      </c>
      <c r="E103" s="2"/>
      <c r="F103" s="2"/>
      <c r="G103" s="2" t="n">
        <v>1</v>
      </c>
      <c r="H103" s="2" t="n">
        <v>2</v>
      </c>
      <c r="I103" s="2" t="n">
        <v>1</v>
      </c>
      <c r="J103" s="2" t="n">
        <v>1</v>
      </c>
      <c r="K103" s="2" t="n">
        <v>2</v>
      </c>
      <c r="L103" s="2" t="s">
        <v>17</v>
      </c>
      <c r="M103" s="3" t="s">
        <v>161</v>
      </c>
    </row>
    <row r="104" customFormat="false" ht="18" hidden="false" customHeight="true" outlineLevel="0" collapsed="false">
      <c r="A104" s="2" t="s">
        <v>162</v>
      </c>
      <c r="B104" s="2" t="n">
        <v>1998</v>
      </c>
      <c r="C104" s="2" t="n">
        <v>4</v>
      </c>
      <c r="D104" s="2" t="n">
        <v>4</v>
      </c>
      <c r="E104" s="2"/>
      <c r="F104" s="2"/>
      <c r="G104" s="2"/>
      <c r="H104" s="2"/>
      <c r="I104" s="2"/>
      <c r="J104" s="2" t="n">
        <v>4</v>
      </c>
      <c r="K104" s="2"/>
      <c r="L104" s="2"/>
      <c r="M104" s="2"/>
    </row>
    <row r="105" customFormat="false" ht="18" hidden="false" customHeight="true" outlineLevel="0" collapsed="false">
      <c r="A105" s="2" t="s">
        <v>163</v>
      </c>
      <c r="B105" s="2" t="n">
        <v>1998</v>
      </c>
      <c r="C105" s="2" t="n">
        <v>2</v>
      </c>
      <c r="D105" s="2" t="n">
        <v>2</v>
      </c>
      <c r="E105" s="2"/>
      <c r="F105" s="2"/>
      <c r="G105" s="2" t="n">
        <v>1</v>
      </c>
      <c r="H105" s="2"/>
      <c r="I105" s="2" t="n">
        <v>1</v>
      </c>
      <c r="J105" s="2" t="n">
        <v>1</v>
      </c>
      <c r="K105" s="2" t="n">
        <v>2</v>
      </c>
      <c r="L105" s="2" t="s">
        <v>23</v>
      </c>
      <c r="M105" s="3" t="s">
        <v>164</v>
      </c>
    </row>
    <row r="106" customFormat="false" ht="18" hidden="false" customHeight="true" outlineLevel="0" collapsed="false">
      <c r="A106" s="2" t="s">
        <v>165</v>
      </c>
      <c r="B106" s="2" t="n">
        <v>1999</v>
      </c>
      <c r="C106" s="2" t="n">
        <v>2</v>
      </c>
      <c r="D106" s="2" t="n">
        <v>2</v>
      </c>
      <c r="E106" s="2"/>
      <c r="F106" s="2" t="n">
        <v>2</v>
      </c>
      <c r="G106" s="2"/>
      <c r="H106" s="2" t="n">
        <v>1</v>
      </c>
      <c r="I106" s="2"/>
      <c r="J106" s="2" t="n">
        <v>2</v>
      </c>
      <c r="K106" s="2"/>
      <c r="L106" s="2"/>
      <c r="M106" s="2"/>
    </row>
    <row r="107" customFormat="false" ht="18" hidden="false" customHeight="true" outlineLevel="0" collapsed="false">
      <c r="A107" s="2" t="s">
        <v>166</v>
      </c>
      <c r="B107" s="2" t="n">
        <v>1999</v>
      </c>
      <c r="C107" s="2" t="n">
        <v>1</v>
      </c>
      <c r="D107" s="2" t="n">
        <v>1</v>
      </c>
      <c r="E107" s="2"/>
      <c r="F107" s="2"/>
      <c r="G107" s="2"/>
      <c r="H107" s="2"/>
      <c r="I107" s="2"/>
      <c r="J107" s="2" t="n">
        <v>1</v>
      </c>
      <c r="K107" s="2"/>
      <c r="L107" s="2"/>
      <c r="M107" s="2"/>
    </row>
    <row r="108" customFormat="false" ht="18" hidden="false" customHeight="true" outlineLevel="0" collapsed="false">
      <c r="A108" s="2" t="s">
        <v>167</v>
      </c>
      <c r="B108" s="2" t="n">
        <v>2000</v>
      </c>
      <c r="C108" s="2" t="n">
        <v>1</v>
      </c>
      <c r="D108" s="2" t="n">
        <v>1</v>
      </c>
      <c r="E108" s="2"/>
      <c r="F108" s="2"/>
      <c r="G108" s="2" t="n">
        <v>1</v>
      </c>
      <c r="H108" s="2" t="n">
        <v>1</v>
      </c>
      <c r="I108" s="2"/>
      <c r="J108" s="2" t="n">
        <v>1</v>
      </c>
      <c r="K108" s="2" t="n">
        <v>1</v>
      </c>
      <c r="L108" s="2" t="s">
        <v>14</v>
      </c>
      <c r="M108" s="3" t="s">
        <v>168</v>
      </c>
    </row>
    <row r="109" customFormat="false" ht="18" hidden="false" customHeight="true" outlineLevel="0" collapsed="false">
      <c r="A109" s="2" t="s">
        <v>169</v>
      </c>
      <c r="B109" s="2" t="n">
        <v>2000</v>
      </c>
      <c r="C109" s="2" t="n">
        <v>1</v>
      </c>
      <c r="D109" s="2" t="n">
        <v>1</v>
      </c>
      <c r="E109" s="2"/>
      <c r="F109" s="2"/>
      <c r="G109" s="2"/>
      <c r="H109" s="2"/>
      <c r="I109" s="2"/>
      <c r="J109" s="2" t="n">
        <v>1</v>
      </c>
      <c r="K109" s="2"/>
      <c r="L109" s="2"/>
      <c r="M109" s="2"/>
    </row>
    <row r="110" customFormat="false" ht="18" hidden="false" customHeight="true" outlineLevel="0" collapsed="false">
      <c r="A110" s="2" t="s">
        <v>170</v>
      </c>
      <c r="B110" s="2" t="n">
        <v>2000</v>
      </c>
      <c r="C110" s="2" t="n">
        <v>1</v>
      </c>
      <c r="D110" s="2"/>
      <c r="E110" s="2" t="n">
        <v>1</v>
      </c>
      <c r="F110" s="2"/>
      <c r="G110" s="2" t="n">
        <v>1</v>
      </c>
      <c r="H110" s="2"/>
      <c r="I110" s="2"/>
      <c r="J110" s="2" t="n">
        <v>1</v>
      </c>
      <c r="K110" s="2"/>
      <c r="L110" s="2" t="s">
        <v>20</v>
      </c>
      <c r="M110" s="3" t="s">
        <v>171</v>
      </c>
    </row>
    <row r="111" customFormat="false" ht="18" hidden="false" customHeight="true" outlineLevel="0" collapsed="false">
      <c r="A111" s="2" t="s">
        <v>172</v>
      </c>
      <c r="B111" s="2" t="n">
        <v>2000</v>
      </c>
      <c r="C111" s="2" t="n">
        <v>2</v>
      </c>
      <c r="D111" s="2" t="n">
        <v>2</v>
      </c>
      <c r="E111" s="2"/>
      <c r="F111" s="2"/>
      <c r="G111" s="2"/>
      <c r="H111" s="2"/>
      <c r="I111" s="2" t="n">
        <v>1</v>
      </c>
      <c r="J111" s="2" t="n">
        <v>1</v>
      </c>
      <c r="K111" s="2" t="n">
        <v>2</v>
      </c>
      <c r="L111" s="2"/>
      <c r="M111" s="2"/>
    </row>
    <row r="112" customFormat="false" ht="18" hidden="false" customHeight="true" outlineLevel="0" collapsed="false">
      <c r="A112" s="2" t="s">
        <v>173</v>
      </c>
      <c r="B112" s="2" t="n">
        <v>2001</v>
      </c>
      <c r="C112" s="2" t="n">
        <v>1</v>
      </c>
      <c r="D112" s="2" t="n">
        <v>1</v>
      </c>
      <c r="E112" s="2"/>
      <c r="F112" s="2"/>
      <c r="G112" s="2"/>
      <c r="H112" s="2"/>
      <c r="I112" s="2"/>
      <c r="J112" s="2" t="n">
        <v>1</v>
      </c>
      <c r="K112" s="2"/>
      <c r="L112" s="2"/>
      <c r="M112" s="2"/>
    </row>
    <row r="113" customFormat="false" ht="18" hidden="false" customHeight="true" outlineLevel="0" collapsed="false">
      <c r="A113" s="2" t="s">
        <v>174</v>
      </c>
      <c r="B113" s="2" t="n">
        <v>2001</v>
      </c>
      <c r="C113" s="2" t="n">
        <v>1</v>
      </c>
      <c r="D113" s="2" t="n">
        <v>1</v>
      </c>
      <c r="E113" s="2"/>
      <c r="F113" s="2"/>
      <c r="G113" s="2"/>
      <c r="H113" s="2"/>
      <c r="I113" s="2" t="n">
        <v>1</v>
      </c>
      <c r="J113" s="2"/>
      <c r="K113" s="2" t="n">
        <v>1</v>
      </c>
      <c r="L113" s="2"/>
      <c r="M113" s="2"/>
    </row>
    <row r="114" customFormat="false" ht="18" hidden="false" customHeight="true" outlineLevel="0" collapsed="false">
      <c r="A114" s="2" t="s">
        <v>175</v>
      </c>
      <c r="B114" s="2" t="n">
        <v>2003</v>
      </c>
      <c r="C114" s="2" t="n">
        <v>1</v>
      </c>
      <c r="D114" s="2" t="n">
        <v>1</v>
      </c>
      <c r="E114" s="2"/>
      <c r="F114" s="2"/>
      <c r="G114" s="2" t="n">
        <v>1</v>
      </c>
      <c r="H114" s="2"/>
      <c r="I114" s="2"/>
      <c r="J114" s="2" t="n">
        <v>1</v>
      </c>
      <c r="K114" s="2"/>
      <c r="L114" s="2" t="s">
        <v>20</v>
      </c>
      <c r="M114" s="3" t="s">
        <v>176</v>
      </c>
    </row>
    <row r="115" customFormat="false" ht="18" hidden="false" customHeight="true" outlineLevel="0" collapsed="false">
      <c r="A115" s="2" t="s">
        <v>177</v>
      </c>
      <c r="B115" s="2" t="n">
        <v>2004</v>
      </c>
      <c r="C115" s="2" t="n">
        <v>1</v>
      </c>
      <c r="D115" s="2" t="n">
        <v>1</v>
      </c>
      <c r="E115" s="2"/>
      <c r="F115" s="2"/>
      <c r="G115" s="2"/>
      <c r="H115" s="2" t="n">
        <v>1</v>
      </c>
      <c r="I115" s="2" t="n">
        <v>1</v>
      </c>
      <c r="J115" s="2"/>
      <c r="K115" s="2"/>
      <c r="L115" s="2"/>
      <c r="M115" s="2"/>
    </row>
    <row r="116" customFormat="false" ht="18" hidden="false" customHeight="true" outlineLevel="0" collapsed="false">
      <c r="A116" s="2" t="s">
        <v>178</v>
      </c>
      <c r="B116" s="2" t="n">
        <v>2004</v>
      </c>
      <c r="C116" s="2" t="n">
        <v>1</v>
      </c>
      <c r="D116" s="2"/>
      <c r="E116" s="2" t="n">
        <v>1</v>
      </c>
      <c r="F116" s="2"/>
      <c r="G116" s="2" t="n">
        <v>1</v>
      </c>
      <c r="H116" s="2"/>
      <c r="I116" s="2"/>
      <c r="J116" s="2" t="n">
        <v>1</v>
      </c>
      <c r="K116" s="2"/>
      <c r="L116" s="2" t="s">
        <v>179</v>
      </c>
      <c r="M116" s="3" t="s">
        <v>180</v>
      </c>
    </row>
    <row r="117" customFormat="false" ht="18" hidden="false" customHeight="true" outlineLevel="0" collapsed="false">
      <c r="A117" s="2" t="s">
        <v>181</v>
      </c>
      <c r="B117" s="2" t="n">
        <v>2005</v>
      </c>
      <c r="C117" s="2" t="n">
        <v>1</v>
      </c>
      <c r="D117" s="2" t="n">
        <v>1</v>
      </c>
      <c r="E117" s="2"/>
      <c r="F117" s="2"/>
      <c r="G117" s="2"/>
      <c r="H117" s="2"/>
      <c r="I117" s="2"/>
      <c r="J117" s="2" t="n">
        <v>1</v>
      </c>
      <c r="K117" s="2"/>
      <c r="L117" s="2"/>
      <c r="M117" s="2"/>
    </row>
    <row r="118" customFormat="false" ht="18" hidden="false" customHeight="true" outlineLevel="0" collapsed="false">
      <c r="A118" s="2" t="s">
        <v>182</v>
      </c>
      <c r="B118" s="2" t="n">
        <v>2006</v>
      </c>
      <c r="C118" s="2" t="n">
        <v>1</v>
      </c>
      <c r="D118" s="2" t="n">
        <v>1</v>
      </c>
      <c r="E118" s="2"/>
      <c r="F118" s="2"/>
      <c r="G118" s="2"/>
      <c r="H118" s="2"/>
      <c r="I118" s="2" t="n">
        <v>1</v>
      </c>
      <c r="J118" s="2"/>
      <c r="K118" s="2"/>
      <c r="L118" s="2"/>
      <c r="M118" s="2"/>
    </row>
    <row r="119" customFormat="false" ht="18" hidden="false" customHeight="true" outlineLevel="0" collapsed="false">
      <c r="A119" s="2" t="s">
        <v>183</v>
      </c>
      <c r="B119" s="2" t="n">
        <v>2006</v>
      </c>
      <c r="C119" s="2" t="n">
        <v>1</v>
      </c>
      <c r="D119" s="2" t="n">
        <v>1</v>
      </c>
      <c r="E119" s="2"/>
      <c r="F119" s="2"/>
      <c r="G119" s="2" t="n">
        <v>1</v>
      </c>
      <c r="H119" s="2"/>
      <c r="I119" s="2" t="n">
        <v>1</v>
      </c>
      <c r="J119" s="2"/>
      <c r="K119" s="2"/>
      <c r="L119" s="2" t="s">
        <v>20</v>
      </c>
      <c r="M119" s="3" t="s">
        <v>184</v>
      </c>
    </row>
    <row r="120" customFormat="false" ht="18" hidden="false" customHeight="true" outlineLevel="0" collapsed="false">
      <c r="A120" s="2" t="s">
        <v>185</v>
      </c>
      <c r="B120" s="2" t="n">
        <v>2007</v>
      </c>
      <c r="C120" s="2" t="n">
        <v>1</v>
      </c>
      <c r="D120" s="2"/>
      <c r="E120" s="2" t="n">
        <v>1</v>
      </c>
      <c r="F120" s="2" t="n">
        <v>1</v>
      </c>
      <c r="G120" s="2"/>
      <c r="H120" s="2"/>
      <c r="I120" s="2" t="n">
        <v>1</v>
      </c>
      <c r="J120" s="2"/>
      <c r="K120" s="2"/>
      <c r="L120" s="2"/>
      <c r="M120" s="2"/>
    </row>
    <row r="121" customFormat="false" ht="18" hidden="false" customHeight="true" outlineLevel="0" collapsed="false">
      <c r="A121" s="2" t="s">
        <v>186</v>
      </c>
      <c r="B121" s="2" t="n">
        <v>2007</v>
      </c>
      <c r="C121" s="2" t="n">
        <v>3</v>
      </c>
      <c r="D121" s="2" t="n">
        <v>2</v>
      </c>
      <c r="E121" s="2" t="n">
        <v>1</v>
      </c>
      <c r="F121" s="2"/>
      <c r="G121" s="2"/>
      <c r="H121" s="2"/>
      <c r="I121" s="2" t="n">
        <v>1</v>
      </c>
      <c r="J121" s="2" t="n">
        <v>2</v>
      </c>
      <c r="K121" s="2"/>
      <c r="L121" s="2"/>
      <c r="M121" s="2"/>
    </row>
    <row r="122" customFormat="false" ht="18" hidden="false" customHeight="true" outlineLevel="0" collapsed="false">
      <c r="A122" s="2" t="s">
        <v>92</v>
      </c>
      <c r="B122" s="2" t="n">
        <v>2008</v>
      </c>
      <c r="C122" s="2" t="n">
        <v>2</v>
      </c>
      <c r="D122" s="2" t="n">
        <v>2</v>
      </c>
      <c r="E122" s="2"/>
      <c r="F122" s="2"/>
      <c r="G122" s="2" t="n">
        <v>1</v>
      </c>
      <c r="H122" s="2"/>
      <c r="I122" s="2" t="n">
        <v>2</v>
      </c>
      <c r="J122" s="2"/>
      <c r="K122" s="2"/>
      <c r="L122" s="2" t="s">
        <v>26</v>
      </c>
      <c r="M122" s="3" t="s">
        <v>187</v>
      </c>
    </row>
    <row r="123" customFormat="false" ht="18" hidden="false" customHeight="true" outlineLevel="0" collapsed="false">
      <c r="A123" s="2" t="s">
        <v>188</v>
      </c>
      <c r="B123" s="2" t="n">
        <v>2008</v>
      </c>
      <c r="C123" s="2" t="n">
        <v>2</v>
      </c>
      <c r="D123" s="2" t="n">
        <v>1</v>
      </c>
      <c r="E123" s="2" t="n">
        <v>1</v>
      </c>
      <c r="F123" s="2" t="n">
        <v>1</v>
      </c>
      <c r="G123" s="2" t="n">
        <v>2</v>
      </c>
      <c r="H123" s="2"/>
      <c r="I123" s="2"/>
      <c r="J123" s="2" t="n">
        <v>2</v>
      </c>
      <c r="K123" s="2"/>
      <c r="L123" s="2" t="s">
        <v>68</v>
      </c>
      <c r="M123" s="3" t="s">
        <v>189</v>
      </c>
    </row>
    <row r="124" customFormat="false" ht="18" hidden="false" customHeight="true" outlineLevel="0" collapsed="false">
      <c r="A124" s="2" t="s">
        <v>190</v>
      </c>
      <c r="B124" s="2" t="n">
        <v>2008</v>
      </c>
      <c r="C124" s="2" t="n">
        <v>1</v>
      </c>
      <c r="D124" s="2" t="n">
        <v>1</v>
      </c>
      <c r="E124" s="2"/>
      <c r="F124" s="2"/>
      <c r="G124" s="2"/>
      <c r="H124" s="2"/>
      <c r="I124" s="2"/>
      <c r="J124" s="2" t="n">
        <v>1</v>
      </c>
      <c r="K124" s="2"/>
      <c r="L124" s="2"/>
      <c r="M124" s="2"/>
    </row>
    <row r="125" customFormat="false" ht="18" hidden="false" customHeight="true" outlineLevel="0" collapsed="false">
      <c r="A125" s="2" t="n">
        <v>2012</v>
      </c>
      <c r="B125" s="2" t="n">
        <v>2009</v>
      </c>
      <c r="C125" s="2" t="n">
        <v>1</v>
      </c>
      <c r="D125" s="2" t="n">
        <v>1</v>
      </c>
      <c r="E125" s="2"/>
      <c r="F125" s="2"/>
      <c r="G125" s="2"/>
      <c r="H125" s="2"/>
      <c r="I125" s="2" t="n">
        <v>1</v>
      </c>
      <c r="J125" s="2"/>
      <c r="K125" s="2" t="n">
        <v>1</v>
      </c>
      <c r="L125" s="2"/>
      <c r="M125" s="2"/>
    </row>
    <row r="126" customFormat="false" ht="18" hidden="false" customHeight="true" outlineLevel="0" collapsed="false">
      <c r="A126" s="2" t="s">
        <v>191</v>
      </c>
      <c r="B126" s="2" t="n">
        <v>2009</v>
      </c>
      <c r="C126" s="2" t="n">
        <v>1</v>
      </c>
      <c r="D126" s="2" t="n">
        <v>1</v>
      </c>
      <c r="E126" s="2"/>
      <c r="F126" s="2"/>
      <c r="G126" s="2"/>
      <c r="H126" s="2"/>
      <c r="I126" s="2" t="n">
        <v>1</v>
      </c>
      <c r="J126" s="2"/>
      <c r="K126" s="2"/>
      <c r="L126" s="2"/>
      <c r="M126" s="2"/>
    </row>
    <row r="127" customFormat="false" ht="18" hidden="false" customHeight="true" outlineLevel="0" collapsed="false">
      <c r="A127" s="2" t="s">
        <v>192</v>
      </c>
      <c r="B127" s="2" t="n">
        <v>2009</v>
      </c>
      <c r="C127" s="2" t="n">
        <v>2</v>
      </c>
      <c r="D127" s="2" t="n">
        <v>1</v>
      </c>
      <c r="E127" s="2" t="n">
        <v>1</v>
      </c>
      <c r="F127" s="2" t="n">
        <v>1</v>
      </c>
      <c r="G127" s="2" t="n">
        <v>2</v>
      </c>
      <c r="H127" s="2" t="n">
        <v>1</v>
      </c>
      <c r="I127" s="2" t="n">
        <v>1</v>
      </c>
      <c r="J127" s="2" t="n">
        <v>1</v>
      </c>
      <c r="K127" s="2"/>
      <c r="L127" s="2" t="s">
        <v>68</v>
      </c>
      <c r="M127" s="2" t="s">
        <v>19</v>
      </c>
    </row>
    <row r="128" customFormat="false" ht="18" hidden="false" customHeight="true" outlineLevel="0" collapsed="false">
      <c r="A128" s="2" t="s">
        <v>193</v>
      </c>
      <c r="B128" s="2" t="n">
        <v>2009</v>
      </c>
      <c r="C128" s="2" t="n">
        <v>1</v>
      </c>
      <c r="D128" s="2" t="n">
        <v>1</v>
      </c>
      <c r="E128" s="2"/>
      <c r="F128" s="2"/>
      <c r="G128" s="2"/>
      <c r="H128" s="2"/>
      <c r="I128" s="2" t="n">
        <v>1</v>
      </c>
      <c r="J128" s="2"/>
      <c r="K128" s="2"/>
      <c r="L128" s="2"/>
      <c r="M128" s="2"/>
    </row>
    <row r="129" customFormat="false" ht="18" hidden="false" customHeight="true" outlineLevel="0" collapsed="false">
      <c r="A129" s="2" t="s">
        <v>194</v>
      </c>
      <c r="B129" s="2" t="n">
        <v>2009</v>
      </c>
      <c r="C129" s="2" t="n">
        <v>3</v>
      </c>
      <c r="D129" s="2" t="n">
        <v>3</v>
      </c>
      <c r="E129" s="2"/>
      <c r="F129" s="2"/>
      <c r="G129" s="2" t="n">
        <v>3</v>
      </c>
      <c r="H129" s="2"/>
      <c r="I129" s="2"/>
      <c r="J129" s="2" t="n">
        <v>3</v>
      </c>
      <c r="K129" s="2"/>
      <c r="L129" s="2" t="s">
        <v>195</v>
      </c>
      <c r="M129" s="2" t="s">
        <v>19</v>
      </c>
    </row>
    <row r="130" customFormat="false" ht="18" hidden="false" customHeight="true" outlineLevel="0" collapsed="false">
      <c r="A130" s="2" t="s">
        <v>196</v>
      </c>
      <c r="B130" s="2" t="n">
        <v>2010</v>
      </c>
      <c r="C130" s="2" t="n">
        <v>2</v>
      </c>
      <c r="D130" s="2" t="n">
        <v>2</v>
      </c>
      <c r="E130" s="2"/>
      <c r="F130" s="2"/>
      <c r="G130" s="2"/>
      <c r="H130" s="2"/>
      <c r="I130" s="2" t="n">
        <v>1</v>
      </c>
      <c r="J130" s="2" t="n">
        <v>1</v>
      </c>
      <c r="K130" s="2"/>
      <c r="L130" s="2"/>
      <c r="M130" s="2"/>
    </row>
    <row r="131" customFormat="false" ht="18" hidden="false" customHeight="true" outlineLevel="0" collapsed="false">
      <c r="A131" s="2" t="s">
        <v>197</v>
      </c>
      <c r="B131" s="2" t="n">
        <v>2011</v>
      </c>
      <c r="C131" s="2" t="n">
        <v>3</v>
      </c>
      <c r="D131" s="2" t="n">
        <v>3</v>
      </c>
      <c r="E131" s="2"/>
      <c r="F131" s="2"/>
      <c r="G131" s="2" t="n">
        <v>3</v>
      </c>
      <c r="H131" s="2" t="n">
        <v>1</v>
      </c>
      <c r="I131" s="2"/>
      <c r="J131" s="2" t="n">
        <v>3</v>
      </c>
      <c r="K131" s="2"/>
      <c r="L131" s="2" t="s">
        <v>198</v>
      </c>
      <c r="M131" s="3" t="s">
        <v>199</v>
      </c>
    </row>
    <row r="132" customFormat="false" ht="18" hidden="false" customHeight="true" outlineLevel="0" collapsed="false">
      <c r="A132" s="2" t="s">
        <v>200</v>
      </c>
      <c r="B132" s="2" t="n">
        <v>2012</v>
      </c>
      <c r="C132" s="2" t="n">
        <v>1</v>
      </c>
      <c r="D132" s="2" t="n">
        <v>1</v>
      </c>
      <c r="E132" s="2"/>
      <c r="F132" s="2"/>
      <c r="G132" s="2" t="n">
        <v>1</v>
      </c>
      <c r="H132" s="2"/>
      <c r="I132" s="2"/>
      <c r="J132" s="2" t="n">
        <v>1</v>
      </c>
      <c r="K132" s="2"/>
      <c r="L132" s="2" t="s">
        <v>14</v>
      </c>
      <c r="M132" s="3" t="s">
        <v>199</v>
      </c>
    </row>
    <row r="133" customFormat="false" ht="18" hidden="false" customHeight="true" outlineLevel="0" collapsed="false">
      <c r="A133" s="2" t="s">
        <v>201</v>
      </c>
      <c r="B133" s="2" t="n">
        <v>2014</v>
      </c>
      <c r="C133" s="2" t="n">
        <v>2</v>
      </c>
      <c r="D133" s="2" t="n">
        <v>2</v>
      </c>
      <c r="E133" s="2"/>
      <c r="F133" s="2"/>
      <c r="G133" s="2"/>
      <c r="H133" s="2" t="n">
        <v>1</v>
      </c>
      <c r="I133" s="2" t="n">
        <v>1</v>
      </c>
      <c r="J133" s="2" t="n">
        <v>1</v>
      </c>
      <c r="K133" s="2"/>
      <c r="L133" s="2"/>
      <c r="M133" s="2"/>
    </row>
    <row r="134" customFormat="false" ht="18" hidden="false" customHeight="true" outlineLevel="0" collapsed="false">
      <c r="A134" s="2" t="s">
        <v>202</v>
      </c>
      <c r="B134" s="2" t="n">
        <v>2016</v>
      </c>
      <c r="C134" s="2" t="n">
        <v>2</v>
      </c>
      <c r="D134" s="2" t="n">
        <v>1</v>
      </c>
      <c r="E134" s="2" t="n">
        <v>1</v>
      </c>
      <c r="F134" s="2"/>
      <c r="G134" s="2" t="n">
        <v>1</v>
      </c>
      <c r="H134" s="2"/>
      <c r="I134" s="2" t="n">
        <v>1</v>
      </c>
      <c r="J134" s="2" t="n">
        <v>1</v>
      </c>
      <c r="K134" s="2"/>
      <c r="L134" s="2" t="s">
        <v>32</v>
      </c>
      <c r="M134" s="3" t="s">
        <v>203</v>
      </c>
    </row>
    <row r="135" customFormat="false" ht="18" hidden="false" customHeight="true" outlineLevel="0" collapsed="false">
      <c r="A135" s="2" t="s">
        <v>204</v>
      </c>
      <c r="B135" s="2" t="n">
        <v>2016</v>
      </c>
      <c r="C135" s="2" t="n">
        <v>1</v>
      </c>
      <c r="D135" s="2" t="n">
        <v>1</v>
      </c>
      <c r="E135" s="2"/>
      <c r="F135" s="2"/>
      <c r="G135" s="2"/>
      <c r="H135" s="2"/>
      <c r="I135" s="2" t="n">
        <v>1</v>
      </c>
      <c r="J135" s="2"/>
      <c r="K135" s="2"/>
      <c r="L135" s="2"/>
      <c r="M135" s="3"/>
    </row>
    <row r="136" customFormat="false" ht="18" hidden="false" customHeight="true" outlineLevel="0" collapsed="false">
      <c r="A136" s="2" t="s">
        <v>205</v>
      </c>
      <c r="B136" s="2" t="n">
        <v>2017</v>
      </c>
      <c r="C136" s="2" t="n">
        <v>1</v>
      </c>
      <c r="D136" s="2" t="n">
        <v>1</v>
      </c>
      <c r="E136" s="2"/>
      <c r="F136" s="2"/>
      <c r="G136" s="2"/>
      <c r="H136" s="2"/>
      <c r="I136" s="2"/>
      <c r="J136" s="2" t="n">
        <v>1</v>
      </c>
      <c r="K136" s="2"/>
      <c r="L136" s="2"/>
      <c r="M136" s="2"/>
    </row>
    <row r="137" customFormat="false" ht="18" hidden="false" customHeight="true" outlineLevel="0" collapsed="false">
      <c r="A137" s="6" t="s">
        <v>206</v>
      </c>
      <c r="B137" s="2" t="n">
        <v>2017</v>
      </c>
      <c r="C137" s="2" t="n">
        <v>1</v>
      </c>
      <c r="D137" s="2" t="n">
        <v>1</v>
      </c>
      <c r="E137" s="2"/>
      <c r="F137" s="2"/>
      <c r="G137" s="2"/>
      <c r="H137" s="2"/>
      <c r="I137" s="2"/>
      <c r="J137" s="2" t="n">
        <v>1</v>
      </c>
      <c r="K137" s="2"/>
      <c r="L137" s="2"/>
      <c r="M137" s="2"/>
    </row>
    <row r="138" customFormat="false" ht="18" hidden="false" customHeight="true" outlineLevel="0" collapsed="false">
      <c r="A138" s="5" t="s">
        <v>207</v>
      </c>
      <c r="B138" s="2" t="n">
        <v>2017</v>
      </c>
      <c r="C138" s="2" t="n">
        <v>1</v>
      </c>
      <c r="D138" s="2"/>
      <c r="E138" s="2" t="n">
        <v>1</v>
      </c>
      <c r="F138" s="2" t="n">
        <v>1</v>
      </c>
      <c r="G138" s="2" t="n">
        <v>1</v>
      </c>
      <c r="H138" s="2"/>
      <c r="I138" s="2" t="n">
        <v>1</v>
      </c>
      <c r="J138" s="2"/>
      <c r="K138" s="2"/>
      <c r="L138" s="2" t="s">
        <v>32</v>
      </c>
      <c r="M138" s="3" t="s">
        <v>208</v>
      </c>
    </row>
    <row r="139" customFormat="false" ht="18" hidden="false" customHeight="true" outlineLevel="0" collapsed="false">
      <c r="A139" s="6" t="s">
        <v>209</v>
      </c>
      <c r="B139" s="2" t="n">
        <v>2020</v>
      </c>
      <c r="C139" s="2" t="n">
        <v>1</v>
      </c>
      <c r="D139" s="2"/>
      <c r="E139" s="2" t="n">
        <v>1</v>
      </c>
      <c r="F139" s="2"/>
      <c r="G139" s="2"/>
      <c r="H139" s="2" t="n">
        <v>1</v>
      </c>
      <c r="I139" s="2" t="n">
        <v>1</v>
      </c>
      <c r="J139" s="2"/>
      <c r="K139" s="2"/>
      <c r="L139" s="2"/>
      <c r="M139" s="2"/>
    </row>
    <row r="140" customFormat="false" ht="18" hidden="false" customHeight="true" outlineLevel="0" collapsed="false">
      <c r="A140" s="2" t="s">
        <v>210</v>
      </c>
      <c r="B140" s="6" t="n">
        <v>2021</v>
      </c>
      <c r="C140" s="6" t="n">
        <v>1</v>
      </c>
      <c r="D140" s="6" t="n">
        <v>1</v>
      </c>
      <c r="E140" s="6"/>
      <c r="F140" s="6"/>
      <c r="G140" s="6"/>
      <c r="H140" s="6"/>
      <c r="I140" s="6" t="n">
        <v>1</v>
      </c>
      <c r="J140" s="6"/>
      <c r="K140" s="6" t="n">
        <v>1</v>
      </c>
      <c r="L140" s="6"/>
      <c r="M140" s="2"/>
    </row>
    <row r="141" customFormat="false" ht="18" hidden="false" customHeight="true" outlineLevel="0" collapsed="false">
      <c r="A141" s="4" t="s">
        <v>211</v>
      </c>
      <c r="B141" s="2" t="n">
        <v>2022</v>
      </c>
      <c r="C141" s="2" t="n">
        <v>4</v>
      </c>
      <c r="D141" s="2" t="n">
        <v>4</v>
      </c>
      <c r="E141" s="4"/>
      <c r="F141" s="4"/>
      <c r="G141" s="2" t="n">
        <v>3</v>
      </c>
      <c r="H141" s="2" t="n">
        <v>1</v>
      </c>
      <c r="I141" s="2" t="n">
        <v>2</v>
      </c>
      <c r="J141" s="4"/>
      <c r="K141" s="4"/>
      <c r="L141" s="2" t="s">
        <v>212</v>
      </c>
      <c r="M141" s="3" t="s">
        <v>213</v>
      </c>
    </row>
    <row r="142" customFormat="false" ht="18" hidden="false" customHeight="true" outlineLevel="0" collapsed="false">
      <c r="A142" s="2" t="s">
        <v>214</v>
      </c>
      <c r="B142" s="4" t="n">
        <v>2022</v>
      </c>
      <c r="C142" s="4" t="n">
        <v>1</v>
      </c>
      <c r="D142" s="4" t="n">
        <v>1</v>
      </c>
      <c r="E142" s="4"/>
      <c r="F142" s="4"/>
      <c r="G142" s="4"/>
      <c r="H142" s="4" t="n">
        <v>1</v>
      </c>
      <c r="I142" s="4"/>
      <c r="J142" s="4" t="n">
        <v>1</v>
      </c>
      <c r="K142" s="4"/>
      <c r="L142" s="4"/>
      <c r="M142" s="4"/>
    </row>
    <row r="143" customFormat="false" ht="18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customFormat="false" ht="18" hidden="false" customHeight="true" outlineLevel="0" collapsed="false">
      <c r="A144" s="2" t="s">
        <v>215</v>
      </c>
      <c r="B144" s="2" t="n">
        <v>141</v>
      </c>
      <c r="C144" s="2" t="n">
        <f aca="false">SUM(C2:C142)</f>
        <v>202</v>
      </c>
      <c r="D144" s="2" t="n">
        <f aca="false">SUM(D2:D142)</f>
        <v>172</v>
      </c>
      <c r="E144" s="2" t="n">
        <f aca="false">SUM(E2:E142)</f>
        <v>30</v>
      </c>
      <c r="F144" s="2" t="n">
        <f aca="false">SUM(F2:F142)</f>
        <v>19</v>
      </c>
      <c r="G144" s="2" t="n">
        <f aca="false">SUM(G2:G142)</f>
        <v>69</v>
      </c>
      <c r="H144" s="2" t="n">
        <f aca="false">SUM(H2:H142)</f>
        <v>22</v>
      </c>
      <c r="I144" s="2" t="n">
        <f aca="false">SUM(I2:I142)</f>
        <v>87</v>
      </c>
      <c r="J144" s="2" t="n">
        <f aca="false">SUM(J2:J142)</f>
        <v>113</v>
      </c>
      <c r="K144" s="2" t="n">
        <f aca="false">SUM(K2:K142)</f>
        <v>38</v>
      </c>
      <c r="L144" s="2"/>
      <c r="M144" s="2"/>
    </row>
    <row r="145" customFormat="false" ht="18" hidden="false" customHeight="true" outlineLevel="0" collapsed="false">
      <c r="A145" s="2" t="s">
        <v>216</v>
      </c>
      <c r="B145" s="2"/>
      <c r="C145" s="2"/>
      <c r="D145" s="10" t="n">
        <f aca="false">(D144/$C$144)*100</f>
        <v>85.1485148514852</v>
      </c>
      <c r="E145" s="10" t="n">
        <f aca="false">(E144/$C$144)*100</f>
        <v>14.8514851485149</v>
      </c>
      <c r="F145" s="10" t="n">
        <f aca="false">(F144/$C$144)*100</f>
        <v>9.40594059405941</v>
      </c>
      <c r="G145" s="10" t="n">
        <f aca="false">(G144/$C$144)*100</f>
        <v>34.1584158415842</v>
      </c>
      <c r="H145" s="10" t="n">
        <f aca="false">(H144/$C$144)*100</f>
        <v>10.8910891089109</v>
      </c>
      <c r="I145" s="10" t="n">
        <f aca="false">(I144/$C$144)*100</f>
        <v>43.0693069306931</v>
      </c>
      <c r="J145" s="10" t="n">
        <f aca="false">(J144/$C$144)*100</f>
        <v>55.9405940594059</v>
      </c>
      <c r="K145" s="10"/>
      <c r="L145" s="2"/>
      <c r="M145" s="2"/>
    </row>
    <row r="146" customFormat="false" ht="18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1" min="2" style="1" width="8"/>
    <col collapsed="false" customWidth="true" hidden="false" outlineLevel="0" max="12" min="12" style="1" width="12"/>
    <col collapsed="false" customWidth="true" hidden="false" outlineLevel="0" max="13" min="13" style="1" width="70"/>
  </cols>
  <sheetData>
    <row r="1" customFormat="false" ht="15" hidden="false" customHeight="true" outlineLevel="0" collapsed="false">
      <c r="A1" s="11" t="s">
        <v>217</v>
      </c>
    </row>
    <row r="2" customFormat="false" ht="15" hidden="false" customHeight="true" outlineLevel="0" collapsed="false">
      <c r="A2" s="12" t="s">
        <v>218</v>
      </c>
    </row>
    <row r="4" customFormat="false" ht="15" hidden="false" customHeight="true" outlineLevel="0" collapsed="false">
      <c r="A4" s="13" t="s">
        <v>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219</v>
      </c>
    </row>
    <row r="5" customFormat="false" ht="15" hidden="false" customHeight="true" outlineLevel="0" collapsed="false">
      <c r="A5" s="14" t="s">
        <v>220</v>
      </c>
      <c r="B5" s="15" t="n">
        <v>1952</v>
      </c>
      <c r="C5" s="15" t="n">
        <v>2</v>
      </c>
      <c r="D5" s="15" t="n">
        <v>2</v>
      </c>
      <c r="E5" s="15"/>
      <c r="F5" s="15"/>
      <c r="G5" s="15"/>
      <c r="H5" s="15"/>
      <c r="I5" s="15" t="n">
        <v>1</v>
      </c>
      <c r="J5" s="15" t="n">
        <v>1</v>
      </c>
      <c r="K5" s="15"/>
      <c r="L5" s="14"/>
      <c r="M5" s="14" t="s">
        <v>221</v>
      </c>
    </row>
    <row r="6" customFormat="false" ht="15" hidden="false" customHeight="true" outlineLevel="0" collapsed="false">
      <c r="A6" s="14" t="s">
        <v>222</v>
      </c>
      <c r="B6" s="15" t="n">
        <v>1960</v>
      </c>
      <c r="C6" s="15" t="n">
        <v>4</v>
      </c>
      <c r="D6" s="15" t="n">
        <v>4</v>
      </c>
      <c r="E6" s="15"/>
      <c r="F6" s="15"/>
      <c r="G6" s="15" t="n">
        <v>3</v>
      </c>
      <c r="H6" s="15" t="n">
        <v>1</v>
      </c>
      <c r="I6" s="15" t="n">
        <v>2</v>
      </c>
      <c r="J6" s="15" t="n">
        <v>2</v>
      </c>
      <c r="K6" s="15" t="n">
        <v>1</v>
      </c>
      <c r="L6" s="14" t="s">
        <v>212</v>
      </c>
      <c r="M6" s="14" t="s">
        <v>223</v>
      </c>
    </row>
    <row r="7" customFormat="false" ht="15" hidden="false" customHeight="true" outlineLevel="0" collapsed="false">
      <c r="A7" s="14" t="s">
        <v>224</v>
      </c>
      <c r="B7" s="15" t="n">
        <v>1978</v>
      </c>
      <c r="C7" s="15" t="n">
        <v>1</v>
      </c>
      <c r="D7" s="15"/>
      <c r="E7" s="15" t="n">
        <v>1</v>
      </c>
      <c r="F7" s="15"/>
      <c r="G7" s="15"/>
      <c r="H7" s="15"/>
      <c r="I7" s="15" t="n">
        <v>1</v>
      </c>
      <c r="J7" s="15"/>
      <c r="K7" s="15"/>
      <c r="L7" s="14"/>
      <c r="M7" s="14" t="s">
        <v>225</v>
      </c>
    </row>
    <row r="8" customFormat="false" ht="15" hidden="false" customHeight="true" outlineLevel="0" collapsed="false">
      <c r="A8" s="14" t="s">
        <v>226</v>
      </c>
      <c r="B8" s="15" t="n">
        <v>1978</v>
      </c>
      <c r="C8" s="15" t="n">
        <v>3</v>
      </c>
      <c r="D8" s="15" t="n">
        <v>3</v>
      </c>
      <c r="E8" s="15"/>
      <c r="F8" s="15"/>
      <c r="G8" s="15"/>
      <c r="H8" s="15"/>
      <c r="I8" s="15" t="n">
        <v>2</v>
      </c>
      <c r="J8" s="15" t="n">
        <v>1</v>
      </c>
      <c r="K8" s="15"/>
      <c r="L8" s="14"/>
      <c r="M8" s="14" t="s">
        <v>227</v>
      </c>
    </row>
    <row r="9" customFormat="false" ht="15" hidden="false" customHeight="true" outlineLevel="0" collapsed="false">
      <c r="A9" s="14" t="s">
        <v>228</v>
      </c>
      <c r="B9" s="15" t="n">
        <v>1984</v>
      </c>
      <c r="C9" s="15" t="n">
        <v>1</v>
      </c>
      <c r="D9" s="15" t="n">
        <v>1</v>
      </c>
      <c r="E9" s="15"/>
      <c r="F9" s="15"/>
      <c r="G9" s="15"/>
      <c r="H9" s="15"/>
      <c r="I9" s="15" t="n">
        <v>1</v>
      </c>
      <c r="J9" s="15"/>
      <c r="K9" s="15"/>
      <c r="L9" s="14"/>
      <c r="M9" s="14" t="s">
        <v>229</v>
      </c>
    </row>
    <row r="10" customFormat="false" ht="15" hidden="false" customHeight="true" outlineLevel="0" collapsed="false">
      <c r="A10" s="14" t="s">
        <v>230</v>
      </c>
      <c r="B10" s="15" t="n">
        <v>1992</v>
      </c>
      <c r="C10" s="15" t="n">
        <v>1</v>
      </c>
      <c r="D10" s="15" t="n">
        <v>1</v>
      </c>
      <c r="E10" s="15"/>
      <c r="F10" s="15"/>
      <c r="G10" s="15"/>
      <c r="H10" s="15"/>
      <c r="I10" s="15" t="n">
        <v>1</v>
      </c>
      <c r="J10" s="15"/>
      <c r="K10" s="15"/>
      <c r="L10" s="14"/>
      <c r="M10" s="14" t="s">
        <v>231</v>
      </c>
    </row>
    <row r="11" customFormat="false" ht="15" hidden="false" customHeight="true" outlineLevel="0" collapsed="false">
      <c r="A11" s="14" t="s">
        <v>232</v>
      </c>
      <c r="B11" s="15" t="n">
        <v>2015</v>
      </c>
      <c r="C11" s="15" t="n">
        <v>1</v>
      </c>
      <c r="D11" s="15" t="n">
        <v>1</v>
      </c>
      <c r="E11" s="15"/>
      <c r="F11" s="15"/>
      <c r="G11" s="15"/>
      <c r="H11" s="15"/>
      <c r="I11" s="15" t="n">
        <v>1</v>
      </c>
      <c r="J11" s="15"/>
      <c r="K11" s="15" t="n">
        <v>1</v>
      </c>
      <c r="L11" s="14"/>
      <c r="M11" s="14" t="s">
        <v>233</v>
      </c>
    </row>
    <row r="12" customFormat="false" ht="15" hidden="false" customHeight="true" outlineLevel="0" collapsed="false">
      <c r="A12" s="14" t="s">
        <v>234</v>
      </c>
      <c r="B12" s="15" t="n">
        <v>2016</v>
      </c>
      <c r="C12" s="15" t="n">
        <v>1</v>
      </c>
      <c r="D12" s="15" t="n">
        <v>1</v>
      </c>
      <c r="E12" s="15"/>
      <c r="F12" s="15"/>
      <c r="G12" s="15"/>
      <c r="H12" s="15"/>
      <c r="I12" s="15" t="n">
        <v>1</v>
      </c>
      <c r="J12" s="15"/>
      <c r="K12" s="15"/>
      <c r="L12" s="14"/>
      <c r="M12" s="14" t="s">
        <v>235</v>
      </c>
    </row>
    <row r="13" customFormat="false" ht="15" hidden="false" customHeight="true" outlineLevel="0" collapsed="false">
      <c r="A13" s="14" t="s">
        <v>236</v>
      </c>
      <c r="B13" s="15" t="n">
        <v>2018</v>
      </c>
      <c r="C13" s="15" t="n">
        <v>2</v>
      </c>
      <c r="D13" s="15" t="n">
        <v>2</v>
      </c>
      <c r="E13" s="15"/>
      <c r="F13" s="15"/>
      <c r="G13" s="15" t="n">
        <v>1</v>
      </c>
      <c r="H13" s="15"/>
      <c r="I13" s="15" t="n">
        <v>1</v>
      </c>
      <c r="J13" s="15" t="n">
        <v>1</v>
      </c>
      <c r="K13" s="15" t="n">
        <v>1</v>
      </c>
      <c r="L13" s="14" t="s">
        <v>17</v>
      </c>
      <c r="M13" s="14" t="s">
        <v>237</v>
      </c>
    </row>
    <row r="14" customFormat="false" ht="15" hidden="false" customHeight="true" outlineLevel="0" collapsed="false">
      <c r="A14" s="16" t="s">
        <v>215</v>
      </c>
      <c r="B14" s="16"/>
      <c r="C14" s="16" t="n">
        <f aca="false">SUM(C5:C13)</f>
        <v>16</v>
      </c>
      <c r="D14" s="16" t="n">
        <f aca="false">SUM(D5:D13)</f>
        <v>15</v>
      </c>
      <c r="E14" s="16" t="n">
        <f aca="false">SUM(E5:E13)</f>
        <v>1</v>
      </c>
      <c r="F14" s="16" t="n">
        <f aca="false">SUM(F5:F13)</f>
        <v>0</v>
      </c>
      <c r="G14" s="16" t="n">
        <f aca="false">SUM(G5:G13)</f>
        <v>4</v>
      </c>
      <c r="H14" s="16" t="n">
        <f aca="false">SUM(H5:H13)</f>
        <v>1</v>
      </c>
      <c r="I14" s="16" t="n">
        <f aca="false">SUM(I5:I13)</f>
        <v>11</v>
      </c>
      <c r="J14" s="16" t="n">
        <f aca="false">SUM(J5:J13)</f>
        <v>5</v>
      </c>
      <c r="K14" s="16" t="n">
        <f aca="false">SUM(K5:K13)</f>
        <v>3</v>
      </c>
      <c r="L14" s="16"/>
      <c r="M14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2" style="1" width="11"/>
    <col collapsed="false" customWidth="true" hidden="false" outlineLevel="0" max="6" min="6" style="1" width="52"/>
  </cols>
  <sheetData>
    <row r="1" customFormat="false" ht="15" hidden="false" customHeight="true" outlineLevel="0" collapsed="false">
      <c r="A1" s="11" t="s">
        <v>238</v>
      </c>
    </row>
    <row r="2" customFormat="false" ht="15" hidden="false" customHeight="true" outlineLevel="0" collapsed="false">
      <c r="A2" s="12" t="s">
        <v>239</v>
      </c>
    </row>
    <row r="4" customFormat="false" ht="15" hidden="false" customHeight="true" outlineLevel="0" collapsed="false">
      <c r="A4" s="13" t="s">
        <v>240</v>
      </c>
      <c r="B4" s="13" t="s">
        <v>241</v>
      </c>
      <c r="C4" s="13" t="s">
        <v>242</v>
      </c>
      <c r="D4" s="13" t="s">
        <v>243</v>
      </c>
      <c r="E4" s="13" t="s">
        <v>244</v>
      </c>
      <c r="F4" s="13" t="s">
        <v>245</v>
      </c>
    </row>
    <row r="5" customFormat="false" ht="15" hidden="false" customHeight="true" outlineLevel="0" collapsed="false">
      <c r="A5" s="14" t="s">
        <v>246</v>
      </c>
      <c r="B5" s="15" t="n">
        <v>202</v>
      </c>
      <c r="C5" s="15"/>
      <c r="D5" s="15" t="n">
        <v>16</v>
      </c>
      <c r="E5" s="15" t="n">
        <v>100</v>
      </c>
      <c r="F5" s="14"/>
    </row>
    <row r="6" customFormat="false" ht="15" hidden="false" customHeight="true" outlineLevel="0" collapsed="false">
      <c r="A6" s="14" t="s">
        <v>247</v>
      </c>
      <c r="B6" s="15" t="n">
        <v>172</v>
      </c>
      <c r="C6" s="15" t="n">
        <v>85.1</v>
      </c>
      <c r="D6" s="15" t="n">
        <v>15</v>
      </c>
      <c r="E6" s="15" t="n">
        <v>93.8</v>
      </c>
      <c r="F6" s="14"/>
    </row>
    <row r="7" customFormat="false" ht="15" hidden="false" customHeight="true" outlineLevel="0" collapsed="false">
      <c r="A7" s="14" t="s">
        <v>4</v>
      </c>
      <c r="B7" s="15" t="n">
        <v>30</v>
      </c>
      <c r="C7" s="15" t="n">
        <v>14.9</v>
      </c>
      <c r="D7" s="15" t="n">
        <v>1</v>
      </c>
      <c r="E7" s="15" t="n">
        <v>6.2</v>
      </c>
      <c r="F7" s="14" t="s">
        <v>248</v>
      </c>
    </row>
    <row r="8" customFormat="false" ht="15" hidden="false" customHeight="true" outlineLevel="0" collapsed="false">
      <c r="A8" s="14" t="s">
        <v>5</v>
      </c>
      <c r="B8" s="15" t="n">
        <v>19</v>
      </c>
      <c r="C8" s="15" t="n">
        <v>9.4</v>
      </c>
      <c r="D8" s="15" t="n">
        <v>0</v>
      </c>
      <c r="E8" s="15" t="n">
        <v>0</v>
      </c>
      <c r="F8" s="14" t="s">
        <v>249</v>
      </c>
    </row>
    <row r="9" customFormat="false" ht="15" hidden="false" customHeight="true" outlineLevel="0" collapsed="false">
      <c r="A9" s="14" t="s">
        <v>6</v>
      </c>
      <c r="B9" s="15" t="n">
        <v>69</v>
      </c>
      <c r="C9" s="15" t="n">
        <v>34.2</v>
      </c>
      <c r="D9" s="15" t="n">
        <v>4</v>
      </c>
      <c r="E9" s="15" t="n">
        <v>25</v>
      </c>
      <c r="F9" s="14" t="s">
        <v>250</v>
      </c>
    </row>
    <row r="10" customFormat="false" ht="15" hidden="false" customHeight="true" outlineLevel="0" collapsed="false">
      <c r="A10" s="14" t="s">
        <v>7</v>
      </c>
      <c r="B10" s="15" t="n">
        <v>22</v>
      </c>
      <c r="C10" s="15" t="n">
        <v>10.9</v>
      </c>
      <c r="D10" s="15" t="n">
        <v>1</v>
      </c>
      <c r="E10" s="15" t="n">
        <v>6.2</v>
      </c>
      <c r="F10" s="14" t="s">
        <v>251</v>
      </c>
    </row>
    <row r="11" customFormat="false" ht="15" hidden="false" customHeight="true" outlineLevel="0" collapsed="false">
      <c r="A11" s="14" t="s">
        <v>252</v>
      </c>
      <c r="B11" s="15" t="n">
        <v>87</v>
      </c>
      <c r="C11" s="15" t="n">
        <v>43.1</v>
      </c>
      <c r="D11" s="15" t="n">
        <v>11</v>
      </c>
      <c r="E11" s="15" t="n">
        <v>68.8</v>
      </c>
      <c r="F11" s="14" t="s">
        <v>253</v>
      </c>
    </row>
    <row r="12" customFormat="false" ht="15" hidden="false" customHeight="true" outlineLevel="0" collapsed="false">
      <c r="A12" s="14" t="s">
        <v>10</v>
      </c>
      <c r="B12" s="15" t="n">
        <v>38</v>
      </c>
      <c r="C12" s="15" t="n">
        <v>18.8</v>
      </c>
      <c r="D12" s="15" t="n">
        <v>3</v>
      </c>
      <c r="E12" s="15" t="n">
        <v>18.8</v>
      </c>
      <c r="F12" s="14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6" min="3" style="0" width="11"/>
    <col collapsed="false" customWidth="true" hidden="false" outlineLevel="0" max="7" min="7" style="0" width="66"/>
  </cols>
  <sheetData>
    <row r="1" customFormat="false" ht="15" hidden="false" customHeight="false" outlineLevel="0" collapsed="false">
      <c r="A1" s="17" t="s">
        <v>255</v>
      </c>
    </row>
    <row r="2" customFormat="false" ht="15" hidden="false" customHeight="false" outlineLevel="0" collapsed="false">
      <c r="A2" s="18" t="s">
        <v>256</v>
      </c>
    </row>
    <row r="4" customFormat="false" ht="15" hidden="false" customHeight="false" outlineLevel="0" collapsed="false">
      <c r="A4" s="13" t="s">
        <v>257</v>
      </c>
      <c r="B4" s="13" t="s">
        <v>258</v>
      </c>
      <c r="C4" s="13" t="s">
        <v>241</v>
      </c>
      <c r="D4" s="13" t="s">
        <v>242</v>
      </c>
      <c r="E4" s="13" t="s">
        <v>259</v>
      </c>
      <c r="F4" s="13" t="s">
        <v>244</v>
      </c>
      <c r="G4" s="13" t="s">
        <v>260</v>
      </c>
    </row>
    <row r="5" customFormat="false" ht="15" hidden="false" customHeight="false" outlineLevel="0" collapsed="false">
      <c r="A5" s="15" t="s">
        <v>20</v>
      </c>
      <c r="B5" s="15" t="s">
        <v>261</v>
      </c>
      <c r="C5" s="15" t="n">
        <v>30</v>
      </c>
      <c r="D5" s="15" t="n">
        <v>43.5</v>
      </c>
      <c r="E5" s="15" t="n">
        <v>0</v>
      </c>
      <c r="F5" s="15" t="n">
        <v>0</v>
      </c>
      <c r="G5" s="19" t="s">
        <v>262</v>
      </c>
    </row>
    <row r="6" customFormat="false" ht="15" hidden="false" customHeight="false" outlineLevel="0" collapsed="false">
      <c r="A6" s="15" t="s">
        <v>17</v>
      </c>
      <c r="B6" s="15" t="s">
        <v>263</v>
      </c>
      <c r="C6" s="15" t="n">
        <v>12</v>
      </c>
      <c r="D6" s="15" t="n">
        <v>17.4</v>
      </c>
      <c r="E6" s="15" t="n">
        <v>4</v>
      </c>
      <c r="F6" s="15" t="n">
        <v>100</v>
      </c>
      <c r="G6" s="19" t="s">
        <v>264</v>
      </c>
    </row>
    <row r="7" customFormat="false" ht="15" hidden="false" customHeight="false" outlineLevel="0" collapsed="false">
      <c r="A7" s="15" t="s">
        <v>14</v>
      </c>
      <c r="B7" s="15" t="s">
        <v>265</v>
      </c>
      <c r="C7" s="15" t="n">
        <v>12</v>
      </c>
      <c r="D7" s="15" t="n">
        <v>17.4</v>
      </c>
      <c r="E7" s="15" t="n">
        <v>0</v>
      </c>
      <c r="F7" s="15" t="n">
        <v>0</v>
      </c>
      <c r="G7" s="19" t="s">
        <v>266</v>
      </c>
    </row>
    <row r="8" customFormat="false" ht="15" hidden="false" customHeight="false" outlineLevel="0" collapsed="false">
      <c r="A8" s="15" t="s">
        <v>23</v>
      </c>
      <c r="B8" s="15" t="s">
        <v>267</v>
      </c>
      <c r="C8" s="15" t="n">
        <v>9</v>
      </c>
      <c r="D8" s="15" t="n">
        <v>13</v>
      </c>
      <c r="E8" s="15" t="n">
        <v>0</v>
      </c>
      <c r="F8" s="15" t="n">
        <v>0</v>
      </c>
      <c r="G8" s="19" t="s">
        <v>268</v>
      </c>
    </row>
    <row r="9" customFormat="false" ht="15" hidden="false" customHeight="false" outlineLevel="0" collapsed="false">
      <c r="A9" s="15" t="s">
        <v>26</v>
      </c>
      <c r="B9" s="15" t="s">
        <v>25</v>
      </c>
      <c r="C9" s="15" t="n">
        <v>3</v>
      </c>
      <c r="D9" s="15" t="n">
        <v>4.3</v>
      </c>
      <c r="E9" s="15" t="n">
        <v>0</v>
      </c>
      <c r="F9" s="15" t="n">
        <v>0</v>
      </c>
      <c r="G9" s="19" t="s">
        <v>266</v>
      </c>
    </row>
    <row r="10" customFormat="false" ht="15" hidden="false" customHeight="false" outlineLevel="0" collapsed="false">
      <c r="A10" s="15" t="s">
        <v>29</v>
      </c>
      <c r="B10" s="15" t="s">
        <v>28</v>
      </c>
      <c r="C10" s="15" t="n">
        <v>1</v>
      </c>
      <c r="D10" s="15" t="n">
        <v>1.4</v>
      </c>
      <c r="E10" s="15" t="n">
        <v>0</v>
      </c>
      <c r="F10" s="15" t="n">
        <v>0</v>
      </c>
      <c r="G10" s="19" t="s">
        <v>266</v>
      </c>
    </row>
    <row r="11" customFormat="false" ht="15" hidden="false" customHeight="false" outlineLevel="0" collapsed="false">
      <c r="A11" s="15" t="s">
        <v>32</v>
      </c>
      <c r="B11" s="15" t="s">
        <v>269</v>
      </c>
      <c r="C11" s="15" t="n">
        <v>2</v>
      </c>
      <c r="D11" s="15" t="n">
        <v>2.9</v>
      </c>
      <c r="E11" s="15" t="n">
        <v>0</v>
      </c>
      <c r="F11" s="15" t="n">
        <v>0</v>
      </c>
      <c r="G11" s="19" t="s">
        <v>266</v>
      </c>
    </row>
    <row r="12" customFormat="false" ht="15" hidden="false" customHeight="false" outlineLevel="0" collapsed="false">
      <c r="A12" s="20"/>
      <c r="B12" s="20" t="s">
        <v>35</v>
      </c>
      <c r="C12" s="20" t="n">
        <f aca="false">SUM(C5:C11)</f>
        <v>69</v>
      </c>
      <c r="D12" s="20"/>
      <c r="E12" s="20" t="n">
        <f aca="false">SUM(E5:E11)</f>
        <v>4</v>
      </c>
      <c r="F12" s="20"/>
      <c r="G12" s="21"/>
    </row>
    <row r="14" customFormat="false" ht="15" hidden="false" customHeight="false" outlineLevel="0" collapsed="false">
      <c r="A14" s="18" t="s">
        <v>270</v>
      </c>
    </row>
    <row r="15" customFormat="false" ht="15" hidden="false" customHeight="false" outlineLevel="0" collapsed="false">
      <c r="A15" s="18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2023-09-08T12:58:04Z</dcterms:created>
  <dc:creator>Microsoft Office User</dc:creator>
  <dc:description/>
  <dc:language>en-US</dc:language>
  <cp:lastModifiedBy>Erik Sturkell</cp:lastModifiedBy>
  <dcterms:modified xsi:type="dcterms:W3CDTF">2026-05-28T06:55:46Z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